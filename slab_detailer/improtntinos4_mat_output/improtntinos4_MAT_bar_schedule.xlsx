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 schedule" sheetId="1" state="visible" r:id="rId1"/>
    <sheet xmlns:r="http://schemas.openxmlformats.org/officeDocument/2006/relationships" name="Summary by 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2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8" customWidth="1" min="3" max="3"/>
    <col width="6" customWidth="1" min="4" max="4"/>
    <col width="7" customWidth="1" min="5" max="5"/>
    <col width="9" customWidth="1" min="6" max="6"/>
    <col width="12" customWidth="1" min="7" max="7"/>
    <col width="10" customWidth="1" min="8" max="8"/>
    <col width="14" customWidth="1" min="9" max="9"/>
    <col width="8" customWidth="1" min="10" max="10"/>
    <col width="12" customWidth="1" min="11" max="11"/>
    <col width="22" customWidth="1" min="12" max="12"/>
  </cols>
  <sheetData>
    <row r="1">
      <c r="A1" s="1" t="inlineStr">
        <is>
          <t>Mark</t>
        </is>
      </c>
      <c r="B1" s="1" t="inlineStr">
        <is>
          <t>Family</t>
        </is>
      </c>
      <c r="C1" s="1" t="inlineStr">
        <is>
          <t>Face</t>
        </is>
      </c>
      <c r="D1" s="1" t="inlineStr">
        <is>
          <t>Dir.</t>
        </is>
      </c>
      <c r="E1" s="1" t="inlineStr">
        <is>
          <t>Ø (mm)</t>
        </is>
      </c>
      <c r="F1" s="1" t="inlineStr">
        <is>
          <t>Shape</t>
        </is>
      </c>
      <c r="G1" s="1" t="inlineStr">
        <is>
          <t>Length (mm)</t>
        </is>
      </c>
      <c r="H1" s="1" t="inlineStr">
        <is>
          <t>No. of bars</t>
        </is>
      </c>
      <c r="I1" s="1" t="inlineStr">
        <is>
          <t>Total length (m)</t>
        </is>
      </c>
      <c r="J1" s="1" t="inlineStr">
        <is>
          <t>kg/m</t>
        </is>
      </c>
      <c r="K1" s="1" t="inlineStr">
        <is>
          <t>Weight (kg)</t>
        </is>
      </c>
      <c r="L1" s="1" t="inlineStr">
        <is>
          <t>Label on drawing</t>
        </is>
      </c>
    </row>
    <row r="2">
      <c r="A2" t="inlineStr">
        <is>
          <t>N1</t>
        </is>
      </c>
      <c r="B2" t="inlineStr">
        <is>
          <t>Mesh</t>
        </is>
      </c>
      <c r="C2" t="inlineStr">
        <is>
          <t>Bottom</t>
        </is>
      </c>
      <c r="D2" t="inlineStr">
        <is>
          <t>X</t>
        </is>
      </c>
      <c r="E2" t="n">
        <v>20</v>
      </c>
      <c r="F2" t="inlineStr">
        <is>
          <t>straight</t>
        </is>
      </c>
      <c r="G2" t="n">
        <v>880</v>
      </c>
      <c r="H2" t="n">
        <v>1</v>
      </c>
      <c r="I2" s="2">
        <f>G2*H2/1000</f>
        <v/>
      </c>
      <c r="J2" t="n">
        <v>2.466</v>
      </c>
      <c r="K2" s="3">
        <f>I2*J2</f>
        <v/>
      </c>
      <c r="L2" t="inlineStr">
        <is>
          <t>1Φ20x88/20</t>
        </is>
      </c>
    </row>
    <row r="3">
      <c r="A3" t="inlineStr">
        <is>
          <t>N1</t>
        </is>
      </c>
      <c r="B3" t="inlineStr">
        <is>
          <t>Mesh</t>
        </is>
      </c>
      <c r="C3" t="inlineStr">
        <is>
          <t>Top</t>
        </is>
      </c>
      <c r="D3" t="inlineStr">
        <is>
          <t>X</t>
        </is>
      </c>
      <c r="E3" t="n">
        <v>20</v>
      </c>
      <c r="F3" t="inlineStr">
        <is>
          <t>straight</t>
        </is>
      </c>
      <c r="G3" t="n">
        <v>880</v>
      </c>
      <c r="H3" t="n">
        <v>1</v>
      </c>
      <c r="I3" s="2">
        <f>G3*H3/1000</f>
        <v/>
      </c>
      <c r="J3" t="n">
        <v>2.466</v>
      </c>
      <c r="K3" s="3">
        <f>I3*J3</f>
        <v/>
      </c>
      <c r="L3" t="inlineStr">
        <is>
          <t>1Φ20x88/20</t>
        </is>
      </c>
    </row>
    <row r="4">
      <c r="A4" t="inlineStr">
        <is>
          <t>N2</t>
        </is>
      </c>
      <c r="B4" t="inlineStr">
        <is>
          <t>Mesh</t>
        </is>
      </c>
      <c r="C4" t="inlineStr">
        <is>
          <t>Bottom</t>
        </is>
      </c>
      <c r="D4" t="inlineStr">
        <is>
          <t>X</t>
        </is>
      </c>
      <c r="E4" t="n">
        <v>20</v>
      </c>
      <c r="F4" t="inlineStr">
        <is>
          <t>straight</t>
        </is>
      </c>
      <c r="G4" t="n">
        <v>1000</v>
      </c>
      <c r="H4" t="n">
        <v>1</v>
      </c>
      <c r="I4" s="2">
        <f>G4*H4/1000</f>
        <v/>
      </c>
      <c r="J4" t="n">
        <v>2.466</v>
      </c>
      <c r="K4" s="3">
        <f>I4*J4</f>
        <v/>
      </c>
      <c r="L4" t="inlineStr">
        <is>
          <t>1Φ20x100/20</t>
        </is>
      </c>
    </row>
    <row r="5">
      <c r="A5" t="inlineStr">
        <is>
          <t>N2</t>
        </is>
      </c>
      <c r="B5" t="inlineStr">
        <is>
          <t>Mesh</t>
        </is>
      </c>
      <c r="C5" t="inlineStr">
        <is>
          <t>Top</t>
        </is>
      </c>
      <c r="D5" t="inlineStr">
        <is>
          <t>X</t>
        </is>
      </c>
      <c r="E5" t="n">
        <v>20</v>
      </c>
      <c r="F5" t="inlineStr">
        <is>
          <t>straight</t>
        </is>
      </c>
      <c r="G5" t="n">
        <v>1000</v>
      </c>
      <c r="H5" t="n">
        <v>1</v>
      </c>
      <c r="I5" s="2">
        <f>G5*H5/1000</f>
        <v/>
      </c>
      <c r="J5" t="n">
        <v>2.466</v>
      </c>
      <c r="K5" s="3">
        <f>I5*J5</f>
        <v/>
      </c>
      <c r="L5" t="inlineStr">
        <is>
          <t>1Φ20x100/20</t>
        </is>
      </c>
    </row>
    <row r="6">
      <c r="A6" t="inlineStr">
        <is>
          <t>N3</t>
        </is>
      </c>
      <c r="B6" t="inlineStr">
        <is>
          <t>Mesh</t>
        </is>
      </c>
      <c r="C6" t="inlineStr">
        <is>
          <t>Bottom</t>
        </is>
      </c>
      <c r="D6" t="inlineStr">
        <is>
          <t>Y</t>
        </is>
      </c>
      <c r="E6" t="n">
        <v>20</v>
      </c>
      <c r="F6" t="inlineStr">
        <is>
          <t>straight</t>
        </is>
      </c>
      <c r="G6" t="n">
        <v>1600</v>
      </c>
      <c r="H6" t="n">
        <v>2</v>
      </c>
      <c r="I6" s="2">
        <f>G6*H6/1000</f>
        <v/>
      </c>
      <c r="J6" t="n">
        <v>2.466</v>
      </c>
      <c r="K6" s="3">
        <f>I6*J6</f>
        <v/>
      </c>
      <c r="L6" t="inlineStr">
        <is>
          <t>2Φ20x160/20</t>
        </is>
      </c>
    </row>
    <row r="7">
      <c r="A7" t="inlineStr">
        <is>
          <t>N3</t>
        </is>
      </c>
      <c r="B7" t="inlineStr">
        <is>
          <t>Mesh</t>
        </is>
      </c>
      <c r="C7" t="inlineStr">
        <is>
          <t>Top</t>
        </is>
      </c>
      <c r="D7" t="inlineStr">
        <is>
          <t>Y</t>
        </is>
      </c>
      <c r="E7" t="n">
        <v>20</v>
      </c>
      <c r="F7" t="inlineStr">
        <is>
          <t>straight</t>
        </is>
      </c>
      <c r="G7" t="n">
        <v>1600</v>
      </c>
      <c r="H7" t="n">
        <v>2</v>
      </c>
      <c r="I7" s="2">
        <f>G7*H7/1000</f>
        <v/>
      </c>
      <c r="J7" t="n">
        <v>2.466</v>
      </c>
      <c r="K7" s="3">
        <f>I7*J7</f>
        <v/>
      </c>
      <c r="L7" t="inlineStr">
        <is>
          <t>2Φ20x160/20</t>
        </is>
      </c>
    </row>
    <row r="8">
      <c r="A8" t="inlineStr">
        <is>
          <t>N4</t>
        </is>
      </c>
      <c r="B8" t="inlineStr">
        <is>
          <t>Mesh</t>
        </is>
      </c>
      <c r="C8" t="inlineStr">
        <is>
          <t>Bottom</t>
        </is>
      </c>
      <c r="D8" t="inlineStr">
        <is>
          <t>Y</t>
        </is>
      </c>
      <c r="E8" t="n">
        <v>20</v>
      </c>
      <c r="F8" t="inlineStr">
        <is>
          <t>straight</t>
        </is>
      </c>
      <c r="G8" t="n">
        <v>2180</v>
      </c>
      <c r="H8" t="n">
        <v>4</v>
      </c>
      <c r="I8" s="2">
        <f>G8*H8/1000</f>
        <v/>
      </c>
      <c r="J8" t="n">
        <v>2.466</v>
      </c>
      <c r="K8" s="3">
        <f>I8*J8</f>
        <v/>
      </c>
      <c r="L8" t="inlineStr">
        <is>
          <t>4Φ20x218/20</t>
        </is>
      </c>
    </row>
    <row r="9">
      <c r="A9" t="inlineStr">
        <is>
          <t>N4</t>
        </is>
      </c>
      <c r="B9" t="inlineStr">
        <is>
          <t>Mesh</t>
        </is>
      </c>
      <c r="C9" t="inlineStr">
        <is>
          <t>Top</t>
        </is>
      </c>
      <c r="D9" t="inlineStr">
        <is>
          <t>Y</t>
        </is>
      </c>
      <c r="E9" t="n">
        <v>20</v>
      </c>
      <c r="F9" t="inlineStr">
        <is>
          <t>straight</t>
        </is>
      </c>
      <c r="G9" t="n">
        <v>2180</v>
      </c>
      <c r="H9" t="n">
        <v>4</v>
      </c>
      <c r="I9" s="2">
        <f>G9*H9/1000</f>
        <v/>
      </c>
      <c r="J9" t="n">
        <v>2.466</v>
      </c>
      <c r="K9" s="3">
        <f>I9*J9</f>
        <v/>
      </c>
      <c r="L9" t="inlineStr">
        <is>
          <t>4Φ20x218/20</t>
        </is>
      </c>
    </row>
    <row r="10">
      <c r="A10" t="inlineStr">
        <is>
          <t>N5</t>
        </is>
      </c>
      <c r="B10" t="inlineStr">
        <is>
          <t>Mesh</t>
        </is>
      </c>
      <c r="C10" t="inlineStr">
        <is>
          <t>Bottom</t>
        </is>
      </c>
      <c r="D10" t="inlineStr">
        <is>
          <t>X</t>
        </is>
      </c>
      <c r="E10" t="n">
        <v>20</v>
      </c>
      <c r="F10" t="inlineStr">
        <is>
          <t>straight</t>
        </is>
      </c>
      <c r="G10" t="n">
        <v>2190</v>
      </c>
      <c r="H10" t="n">
        <v>4</v>
      </c>
      <c r="I10" s="2">
        <f>G10*H10/1000</f>
        <v/>
      </c>
      <c r="J10" t="n">
        <v>2.466</v>
      </c>
      <c r="K10" s="3">
        <f>I10*J10</f>
        <v/>
      </c>
      <c r="L10" t="inlineStr">
        <is>
          <t>4Φ20x219/20</t>
        </is>
      </c>
    </row>
    <row r="11">
      <c r="A11" t="inlineStr">
        <is>
          <t>N5</t>
        </is>
      </c>
      <c r="B11" t="inlineStr">
        <is>
          <t>Mesh</t>
        </is>
      </c>
      <c r="C11" t="inlineStr">
        <is>
          <t>Bottom</t>
        </is>
      </c>
      <c r="D11" t="inlineStr">
        <is>
          <t>Y</t>
        </is>
      </c>
      <c r="E11" t="n">
        <v>20</v>
      </c>
      <c r="F11" t="inlineStr">
        <is>
          <t>straight</t>
        </is>
      </c>
      <c r="G11" t="n">
        <v>2190</v>
      </c>
      <c r="H11" t="n">
        <v>4</v>
      </c>
      <c r="I11" s="2">
        <f>G11*H11/1000</f>
        <v/>
      </c>
      <c r="J11" t="n">
        <v>2.466</v>
      </c>
      <c r="K11" s="3">
        <f>I11*J11</f>
        <v/>
      </c>
      <c r="L11" t="inlineStr">
        <is>
          <t>4Φ20x219/20</t>
        </is>
      </c>
    </row>
    <row r="12">
      <c r="A12" t="inlineStr">
        <is>
          <t>N5</t>
        </is>
      </c>
      <c r="B12" t="inlineStr">
        <is>
          <t>Mesh</t>
        </is>
      </c>
      <c r="C12" t="inlineStr">
        <is>
          <t>Top</t>
        </is>
      </c>
      <c r="D12" t="inlineStr">
        <is>
          <t>X</t>
        </is>
      </c>
      <c r="E12" t="n">
        <v>20</v>
      </c>
      <c r="F12" t="inlineStr">
        <is>
          <t>straight</t>
        </is>
      </c>
      <c r="G12" t="n">
        <v>2190</v>
      </c>
      <c r="H12" t="n">
        <v>4</v>
      </c>
      <c r="I12" s="2">
        <f>G12*H12/1000</f>
        <v/>
      </c>
      <c r="J12" t="n">
        <v>2.466</v>
      </c>
      <c r="K12" s="3">
        <f>I12*J12</f>
        <v/>
      </c>
      <c r="L12" t="inlineStr">
        <is>
          <t>4Φ20x219/20</t>
        </is>
      </c>
    </row>
    <row r="13">
      <c r="A13" t="inlineStr">
        <is>
          <t>N5</t>
        </is>
      </c>
      <c r="B13" t="inlineStr">
        <is>
          <t>Mesh</t>
        </is>
      </c>
      <c r="C13" t="inlineStr">
        <is>
          <t>Top</t>
        </is>
      </c>
      <c r="D13" t="inlineStr">
        <is>
          <t>Y</t>
        </is>
      </c>
      <c r="E13" t="n">
        <v>20</v>
      </c>
      <c r="F13" t="inlineStr">
        <is>
          <t>straight</t>
        </is>
      </c>
      <c r="G13" t="n">
        <v>2190</v>
      </c>
      <c r="H13" t="n">
        <v>4</v>
      </c>
      <c r="I13" s="2">
        <f>G13*H13/1000</f>
        <v/>
      </c>
      <c r="J13" t="n">
        <v>2.466</v>
      </c>
      <c r="K13" s="3">
        <f>I13*J13</f>
        <v/>
      </c>
      <c r="L13" t="inlineStr">
        <is>
          <t>4Φ20x219/20</t>
        </is>
      </c>
    </row>
    <row r="14">
      <c r="A14" t="inlineStr">
        <is>
          <t>N6</t>
        </is>
      </c>
      <c r="B14" t="inlineStr">
        <is>
          <t>Mesh</t>
        </is>
      </c>
      <c r="C14" t="inlineStr">
        <is>
          <t>Bottom</t>
        </is>
      </c>
      <c r="D14" t="inlineStr">
        <is>
          <t>Y</t>
        </is>
      </c>
      <c r="E14" t="n">
        <v>20</v>
      </c>
      <c r="F14" t="inlineStr">
        <is>
          <t>straight</t>
        </is>
      </c>
      <c r="G14" t="n">
        <v>3580</v>
      </c>
      <c r="H14" t="n">
        <v>11</v>
      </c>
      <c r="I14" s="2">
        <f>G14*H14/1000</f>
        <v/>
      </c>
      <c r="J14" t="n">
        <v>2.466</v>
      </c>
      <c r="K14" s="3">
        <f>I14*J14</f>
        <v/>
      </c>
      <c r="L14" t="inlineStr">
        <is>
          <t>11Φ20x358/20</t>
        </is>
      </c>
    </row>
    <row r="15">
      <c r="A15" t="inlineStr">
        <is>
          <t>N7</t>
        </is>
      </c>
      <c r="B15" t="inlineStr">
        <is>
          <t>Mesh</t>
        </is>
      </c>
      <c r="C15" t="inlineStr">
        <is>
          <t>Bottom</t>
        </is>
      </c>
      <c r="D15" t="inlineStr">
        <is>
          <t>Y</t>
        </is>
      </c>
      <c r="E15" t="n">
        <v>20</v>
      </c>
      <c r="F15" t="inlineStr">
        <is>
          <t>straight (variable, avg. length)</t>
        </is>
      </c>
      <c r="G15" t="n">
        <v>4200</v>
      </c>
      <c r="H15" t="n">
        <v>4</v>
      </c>
      <c r="I15" s="2">
        <f>G15*H15/1000</f>
        <v/>
      </c>
      <c r="J15" t="n">
        <v>2.466</v>
      </c>
      <c r="K15" s="3">
        <f>I15*J15</f>
        <v/>
      </c>
      <c r="L15" t="inlineStr">
        <is>
          <t>4Φ20x(220÷1020)/20</t>
        </is>
      </c>
    </row>
    <row r="16">
      <c r="A16" t="inlineStr">
        <is>
          <t>N7</t>
        </is>
      </c>
      <c r="B16" t="inlineStr">
        <is>
          <t>Mesh</t>
        </is>
      </c>
      <c r="C16" t="inlineStr">
        <is>
          <t>Top</t>
        </is>
      </c>
      <c r="D16" t="inlineStr">
        <is>
          <t>Y</t>
        </is>
      </c>
      <c r="E16" t="n">
        <v>20</v>
      </c>
      <c r="F16" t="inlineStr">
        <is>
          <t>straight (variable, avg. length)</t>
        </is>
      </c>
      <c r="G16" t="n">
        <v>4200</v>
      </c>
      <c r="H16" t="n">
        <v>4</v>
      </c>
      <c r="I16" s="2">
        <f>G16*H16/1000</f>
        <v/>
      </c>
      <c r="J16" t="n">
        <v>2.466</v>
      </c>
      <c r="K16" s="3">
        <f>I16*J16</f>
        <v/>
      </c>
      <c r="L16" t="inlineStr">
        <is>
          <t>4Φ20x(220÷1020)/20</t>
        </is>
      </c>
    </row>
    <row r="17">
      <c r="A17" t="inlineStr">
        <is>
          <t>N8</t>
        </is>
      </c>
      <c r="B17" t="inlineStr">
        <is>
          <t>Mesh</t>
        </is>
      </c>
      <c r="C17" t="inlineStr">
        <is>
          <t>Bottom</t>
        </is>
      </c>
      <c r="D17" t="inlineStr">
        <is>
          <t>X</t>
        </is>
      </c>
      <c r="E17" t="n">
        <v>20</v>
      </c>
      <c r="F17" t="inlineStr">
        <is>
          <t>straight</t>
        </is>
      </c>
      <c r="G17" t="n">
        <v>4540</v>
      </c>
      <c r="H17" t="n">
        <v>2</v>
      </c>
      <c r="I17" s="2">
        <f>G17*H17/1000</f>
        <v/>
      </c>
      <c r="J17" t="n">
        <v>2.466</v>
      </c>
      <c r="K17" s="3">
        <f>I17*J17</f>
        <v/>
      </c>
      <c r="L17" t="inlineStr">
        <is>
          <t>2Φ20x454/20</t>
        </is>
      </c>
    </row>
    <row r="18">
      <c r="A18" t="inlineStr">
        <is>
          <t>N8</t>
        </is>
      </c>
      <c r="B18" t="inlineStr">
        <is>
          <t>Mesh</t>
        </is>
      </c>
      <c r="C18" t="inlineStr">
        <is>
          <t>Top</t>
        </is>
      </c>
      <c r="D18" t="inlineStr">
        <is>
          <t>X</t>
        </is>
      </c>
      <c r="E18" t="n">
        <v>20</v>
      </c>
      <c r="F18" t="inlineStr">
        <is>
          <t>straight</t>
        </is>
      </c>
      <c r="G18" t="n">
        <v>4540</v>
      </c>
      <c r="H18" t="n">
        <v>2</v>
      </c>
      <c r="I18" s="2">
        <f>G18*H18/1000</f>
        <v/>
      </c>
      <c r="J18" t="n">
        <v>2.466</v>
      </c>
      <c r="K18" s="3">
        <f>I18*J18</f>
        <v/>
      </c>
      <c r="L18" t="inlineStr">
        <is>
          <t>2Φ20x454/20</t>
        </is>
      </c>
    </row>
    <row r="19">
      <c r="A19" t="inlineStr">
        <is>
          <t>N9</t>
        </is>
      </c>
      <c r="B19" t="inlineStr">
        <is>
          <t>Mesh</t>
        </is>
      </c>
      <c r="C19" t="inlineStr">
        <is>
          <t>Bottom</t>
        </is>
      </c>
      <c r="D19" t="inlineStr">
        <is>
          <t>Y</t>
        </is>
      </c>
      <c r="E19" t="n">
        <v>20</v>
      </c>
      <c r="F19" t="inlineStr">
        <is>
          <t>straight</t>
        </is>
      </c>
      <c r="G19" t="n">
        <v>5100</v>
      </c>
      <c r="H19" t="n">
        <v>6</v>
      </c>
      <c r="I19" s="2">
        <f>G19*H19/1000</f>
        <v/>
      </c>
      <c r="J19" t="n">
        <v>2.466</v>
      </c>
      <c r="K19" s="3">
        <f>I19*J19</f>
        <v/>
      </c>
      <c r="L19" t="inlineStr">
        <is>
          <t>6Φ20x510/20</t>
        </is>
      </c>
    </row>
    <row r="20">
      <c r="A20" t="inlineStr">
        <is>
          <t>N9</t>
        </is>
      </c>
      <c r="B20" t="inlineStr">
        <is>
          <t>Mesh</t>
        </is>
      </c>
      <c r="C20" t="inlineStr">
        <is>
          <t>Top</t>
        </is>
      </c>
      <c r="D20" t="inlineStr">
        <is>
          <t>Y</t>
        </is>
      </c>
      <c r="E20" t="n">
        <v>20</v>
      </c>
      <c r="F20" t="inlineStr">
        <is>
          <t>straight</t>
        </is>
      </c>
      <c r="G20" t="n">
        <v>5100</v>
      </c>
      <c r="H20" t="n">
        <v>6</v>
      </c>
      <c r="I20" s="2">
        <f>G20*H20/1000</f>
        <v/>
      </c>
      <c r="J20" t="n">
        <v>2.466</v>
      </c>
      <c r="K20" s="3">
        <f>I20*J20</f>
        <v/>
      </c>
      <c r="L20" t="inlineStr">
        <is>
          <t>6Φ20x510/20</t>
        </is>
      </c>
    </row>
    <row r="21">
      <c r="A21" t="inlineStr">
        <is>
          <t>N10</t>
        </is>
      </c>
      <c r="B21" t="inlineStr">
        <is>
          <t>Mesh</t>
        </is>
      </c>
      <c r="C21" t="inlineStr">
        <is>
          <t>Bottom</t>
        </is>
      </c>
      <c r="D21" t="inlineStr">
        <is>
          <t>X</t>
        </is>
      </c>
      <c r="E21" t="n">
        <v>20</v>
      </c>
      <c r="F21" t="inlineStr">
        <is>
          <t>straight</t>
        </is>
      </c>
      <c r="G21" t="n">
        <v>5240</v>
      </c>
      <c r="H21" t="n">
        <v>45</v>
      </c>
      <c r="I21" s="2">
        <f>G21*H21/1000</f>
        <v/>
      </c>
      <c r="J21" t="n">
        <v>2.466</v>
      </c>
      <c r="K21" s="3">
        <f>I21*J21</f>
        <v/>
      </c>
      <c r="L21" t="inlineStr">
        <is>
          <t>45Φ20x524/20</t>
        </is>
      </c>
    </row>
    <row r="22">
      <c r="A22" t="inlineStr">
        <is>
          <t>N11</t>
        </is>
      </c>
      <c r="B22" t="inlineStr">
        <is>
          <t>Mesh</t>
        </is>
      </c>
      <c r="C22" t="inlineStr">
        <is>
          <t>Bottom</t>
        </is>
      </c>
      <c r="D22" t="inlineStr">
        <is>
          <t>Y</t>
        </is>
      </c>
      <c r="E22" t="n">
        <v>20</v>
      </c>
      <c r="F22" t="inlineStr">
        <is>
          <t>straight (variable, avg. length)</t>
        </is>
      </c>
      <c r="G22" t="n">
        <v>5380</v>
      </c>
      <c r="H22" t="n">
        <v>10</v>
      </c>
      <c r="I22" s="2">
        <f>G22*H22/1000</f>
        <v/>
      </c>
      <c r="J22" t="n">
        <v>2.466</v>
      </c>
      <c r="K22" s="3">
        <f>I22*J22</f>
        <v/>
      </c>
      <c r="L22" t="inlineStr">
        <is>
          <t>10Φ20x(354÷724)/20</t>
        </is>
      </c>
    </row>
    <row r="23">
      <c r="A23" t="inlineStr">
        <is>
          <t>N12</t>
        </is>
      </c>
      <c r="B23" t="inlineStr">
        <is>
          <t>Mesh</t>
        </is>
      </c>
      <c r="C23" t="inlineStr">
        <is>
          <t>Top</t>
        </is>
      </c>
      <c r="D23" t="inlineStr">
        <is>
          <t>Y</t>
        </is>
      </c>
      <c r="E23" t="n">
        <v>20</v>
      </c>
      <c r="F23" t="inlineStr">
        <is>
          <t>straight</t>
        </is>
      </c>
      <c r="G23" t="n">
        <v>5580</v>
      </c>
      <c r="H23" t="n">
        <v>23</v>
      </c>
      <c r="I23" s="2">
        <f>G23*H23/1000</f>
        <v/>
      </c>
      <c r="J23" t="n">
        <v>2.466</v>
      </c>
      <c r="K23" s="3">
        <f>I23*J23</f>
        <v/>
      </c>
      <c r="L23" t="inlineStr">
        <is>
          <t>23Φ20x558/20</t>
        </is>
      </c>
    </row>
    <row r="24">
      <c r="A24" t="inlineStr">
        <is>
          <t>N13</t>
        </is>
      </c>
      <c r="B24" t="inlineStr">
        <is>
          <t>Mesh</t>
        </is>
      </c>
      <c r="C24" t="inlineStr">
        <is>
          <t>Bottom</t>
        </is>
      </c>
      <c r="D24" t="inlineStr">
        <is>
          <t>X</t>
        </is>
      </c>
      <c r="E24" t="n">
        <v>20</v>
      </c>
      <c r="F24" t="inlineStr">
        <is>
          <t>straight (variable, avg. length)</t>
        </is>
      </c>
      <c r="G24" t="n">
        <v>6010</v>
      </c>
      <c r="H24" t="n">
        <v>7</v>
      </c>
      <c r="I24" s="2">
        <f>G24*H24/1000</f>
        <v/>
      </c>
      <c r="J24" t="n">
        <v>2.466</v>
      </c>
      <c r="K24" s="3">
        <f>I24*J24</f>
        <v/>
      </c>
      <c r="L24" t="inlineStr">
        <is>
          <t>7Φ20x(558÷659)/20</t>
        </is>
      </c>
    </row>
    <row r="25">
      <c r="A25" t="inlineStr">
        <is>
          <t>N13</t>
        </is>
      </c>
      <c r="B25" t="inlineStr">
        <is>
          <t>Mesh</t>
        </is>
      </c>
      <c r="C25" t="inlineStr">
        <is>
          <t>Top</t>
        </is>
      </c>
      <c r="D25" t="inlineStr">
        <is>
          <t>X</t>
        </is>
      </c>
      <c r="E25" t="n">
        <v>20</v>
      </c>
      <c r="F25" t="inlineStr">
        <is>
          <t>straight (variable, avg. length)</t>
        </is>
      </c>
      <c r="G25" t="n">
        <v>6010</v>
      </c>
      <c r="H25" t="n">
        <v>7</v>
      </c>
      <c r="I25" s="2">
        <f>G25*H25/1000</f>
        <v/>
      </c>
      <c r="J25" t="n">
        <v>2.466</v>
      </c>
      <c r="K25" s="3">
        <f>I25*J25</f>
        <v/>
      </c>
      <c r="L25" t="inlineStr">
        <is>
          <t>7Φ20x(558÷659)/20</t>
        </is>
      </c>
    </row>
    <row r="26">
      <c r="A26" t="inlineStr">
        <is>
          <t>N14</t>
        </is>
      </c>
      <c r="B26" t="inlineStr">
        <is>
          <t>Mesh</t>
        </is>
      </c>
      <c r="C26" t="inlineStr">
        <is>
          <t>Top</t>
        </is>
      </c>
      <c r="D26" t="inlineStr">
        <is>
          <t>Y</t>
        </is>
      </c>
      <c r="E26" t="n">
        <v>20</v>
      </c>
      <c r="F26" t="inlineStr">
        <is>
          <t>straight</t>
        </is>
      </c>
      <c r="G26" t="n">
        <v>6380</v>
      </c>
      <c r="H26" t="n">
        <v>11</v>
      </c>
      <c r="I26" s="2">
        <f>G26*H26/1000</f>
        <v/>
      </c>
      <c r="J26" t="n">
        <v>2.466</v>
      </c>
      <c r="K26" s="3">
        <f>I26*J26</f>
        <v/>
      </c>
      <c r="L26" t="inlineStr">
        <is>
          <t>11Φ20x638/20</t>
        </is>
      </c>
    </row>
    <row r="27">
      <c r="A27" t="inlineStr">
        <is>
          <t>N15</t>
        </is>
      </c>
      <c r="B27" t="inlineStr">
        <is>
          <t>Mesh</t>
        </is>
      </c>
      <c r="C27" t="inlineStr">
        <is>
          <t>Bottom</t>
        </is>
      </c>
      <c r="D27" t="inlineStr">
        <is>
          <t>X</t>
        </is>
      </c>
      <c r="E27" t="n">
        <v>20</v>
      </c>
      <c r="F27" t="inlineStr">
        <is>
          <t>straight</t>
        </is>
      </c>
      <c r="G27" t="n">
        <v>6590</v>
      </c>
      <c r="H27" t="n">
        <v>10</v>
      </c>
      <c r="I27" s="2">
        <f>G27*H27/1000</f>
        <v/>
      </c>
      <c r="J27" t="n">
        <v>2.466</v>
      </c>
      <c r="K27" s="3">
        <f>I27*J27</f>
        <v/>
      </c>
      <c r="L27" t="inlineStr">
        <is>
          <t>10Φ20x659/20</t>
        </is>
      </c>
    </row>
    <row r="28">
      <c r="A28" t="inlineStr">
        <is>
          <t>N15</t>
        </is>
      </c>
      <c r="B28" t="inlineStr">
        <is>
          <t>Mesh</t>
        </is>
      </c>
      <c r="C28" t="inlineStr">
        <is>
          <t>Top</t>
        </is>
      </c>
      <c r="D28" t="inlineStr">
        <is>
          <t>X</t>
        </is>
      </c>
      <c r="E28" t="n">
        <v>20</v>
      </c>
      <c r="F28" t="inlineStr">
        <is>
          <t>straight</t>
        </is>
      </c>
      <c r="G28" t="n">
        <v>6590</v>
      </c>
      <c r="H28" t="n">
        <v>10</v>
      </c>
      <c r="I28" s="2">
        <f>G28*H28/1000</f>
        <v/>
      </c>
      <c r="J28" t="n">
        <v>2.466</v>
      </c>
      <c r="K28" s="3">
        <f>I28*J28</f>
        <v/>
      </c>
      <c r="L28" t="inlineStr">
        <is>
          <t>10Φ20x659/20</t>
        </is>
      </c>
    </row>
    <row r="29">
      <c r="A29" t="inlineStr">
        <is>
          <t>N16</t>
        </is>
      </c>
      <c r="B29" t="inlineStr">
        <is>
          <t>Mesh</t>
        </is>
      </c>
      <c r="C29" t="inlineStr">
        <is>
          <t>Bottom</t>
        </is>
      </c>
      <c r="D29" t="inlineStr">
        <is>
          <t>Y</t>
        </is>
      </c>
      <c r="E29" t="n">
        <v>20</v>
      </c>
      <c r="F29" t="inlineStr">
        <is>
          <t>straight (variable, avg. length)</t>
        </is>
      </c>
      <c r="G29" t="n">
        <v>6690</v>
      </c>
      <c r="H29" t="n">
        <v>9</v>
      </c>
      <c r="I29" s="2">
        <f>G29*H29/1000</f>
        <v/>
      </c>
      <c r="J29" t="n">
        <v>2.466</v>
      </c>
      <c r="K29" s="3">
        <f>I29*J29</f>
        <v/>
      </c>
      <c r="L29" t="inlineStr">
        <is>
          <t>9Φ20x(510÷868)/20</t>
        </is>
      </c>
    </row>
    <row r="30">
      <c r="A30" t="inlineStr">
        <is>
          <t>N17</t>
        </is>
      </c>
      <c r="B30" t="inlineStr">
        <is>
          <t>Mesh</t>
        </is>
      </c>
      <c r="C30" t="inlineStr">
        <is>
          <t>Top</t>
        </is>
      </c>
      <c r="D30" t="inlineStr">
        <is>
          <t>X</t>
        </is>
      </c>
      <c r="E30" t="n">
        <v>20</v>
      </c>
      <c r="F30" t="inlineStr">
        <is>
          <t>straight</t>
        </is>
      </c>
      <c r="G30" t="n">
        <v>6720</v>
      </c>
      <c r="H30" t="n">
        <v>9</v>
      </c>
      <c r="I30" s="2">
        <f>G30*H30/1000</f>
        <v/>
      </c>
      <c r="J30" t="n">
        <v>2.466</v>
      </c>
      <c r="K30" s="3">
        <f>I30*J30</f>
        <v/>
      </c>
      <c r="L30" t="inlineStr">
        <is>
          <t>9Φ20x672/20</t>
        </is>
      </c>
    </row>
    <row r="31">
      <c r="A31" t="inlineStr">
        <is>
          <t>N17</t>
        </is>
      </c>
      <c r="B31" t="inlineStr">
        <is>
          <t>Mesh</t>
        </is>
      </c>
      <c r="C31" t="inlineStr">
        <is>
          <t>Top</t>
        </is>
      </c>
      <c r="D31" t="inlineStr">
        <is>
          <t>X</t>
        </is>
      </c>
      <c r="E31" t="n">
        <v>20</v>
      </c>
      <c r="F31" t="inlineStr">
        <is>
          <t>straight</t>
        </is>
      </c>
      <c r="G31" t="n">
        <v>6720</v>
      </c>
      <c r="H31" t="n">
        <v>7</v>
      </c>
      <c r="I31" s="2">
        <f>G31*H31/1000</f>
        <v/>
      </c>
      <c r="J31" t="n">
        <v>2.466</v>
      </c>
      <c r="K31" s="3">
        <f>I31*J31</f>
        <v/>
      </c>
      <c r="L31" t="inlineStr">
        <is>
          <t>7Φ20x672/20</t>
        </is>
      </c>
    </row>
    <row r="32">
      <c r="A32" t="inlineStr">
        <is>
          <t>N17</t>
        </is>
      </c>
      <c r="B32" t="inlineStr">
        <is>
          <t>Mesh</t>
        </is>
      </c>
      <c r="C32" t="inlineStr">
        <is>
          <t>Top</t>
        </is>
      </c>
      <c r="D32" t="inlineStr">
        <is>
          <t>X</t>
        </is>
      </c>
      <c r="E32" t="n">
        <v>20</v>
      </c>
      <c r="F32" t="inlineStr">
        <is>
          <t>straight</t>
        </is>
      </c>
      <c r="G32" t="n">
        <v>6720</v>
      </c>
      <c r="H32" t="n">
        <v>7</v>
      </c>
      <c r="I32" s="2">
        <f>G32*H32/1000</f>
        <v/>
      </c>
      <c r="J32" t="n">
        <v>2.466</v>
      </c>
      <c r="K32" s="3">
        <f>I32*J32</f>
        <v/>
      </c>
      <c r="L32" t="inlineStr">
        <is>
          <t>7Φ20x672/20</t>
        </is>
      </c>
    </row>
    <row r="33">
      <c r="A33" t="inlineStr">
        <is>
          <t>N18</t>
        </is>
      </c>
      <c r="B33" t="inlineStr">
        <is>
          <t>Mesh</t>
        </is>
      </c>
      <c r="C33" t="inlineStr">
        <is>
          <t>Bottom</t>
        </is>
      </c>
      <c r="D33" t="inlineStr">
        <is>
          <t>X</t>
        </is>
      </c>
      <c r="E33" t="n">
        <v>20</v>
      </c>
      <c r="F33" t="inlineStr">
        <is>
          <t>straight</t>
        </is>
      </c>
      <c r="G33" t="n">
        <v>6900</v>
      </c>
      <c r="H33" t="n">
        <v>11</v>
      </c>
      <c r="I33" s="2">
        <f>G33*H33/1000</f>
        <v/>
      </c>
      <c r="J33" t="n">
        <v>2.466</v>
      </c>
      <c r="K33" s="3">
        <f>I33*J33</f>
        <v/>
      </c>
      <c r="L33" t="inlineStr">
        <is>
          <t>11Φ20x690/20</t>
        </is>
      </c>
    </row>
    <row r="34">
      <c r="A34" t="inlineStr">
        <is>
          <t>N18</t>
        </is>
      </c>
      <c r="B34" t="inlineStr">
        <is>
          <t>Mesh</t>
        </is>
      </c>
      <c r="C34" t="inlineStr">
        <is>
          <t>Bottom</t>
        </is>
      </c>
      <c r="D34" t="inlineStr">
        <is>
          <t>X</t>
        </is>
      </c>
      <c r="E34" t="n">
        <v>20</v>
      </c>
      <c r="F34" t="inlineStr">
        <is>
          <t>straight</t>
        </is>
      </c>
      <c r="G34" t="n">
        <v>6900</v>
      </c>
      <c r="H34" t="n">
        <v>7</v>
      </c>
      <c r="I34" s="2">
        <f>G34*H34/1000</f>
        <v/>
      </c>
      <c r="J34" t="n">
        <v>2.466</v>
      </c>
      <c r="K34" s="3">
        <f>I34*J34</f>
        <v/>
      </c>
      <c r="L34" t="inlineStr">
        <is>
          <t>7Φ20x690/20</t>
        </is>
      </c>
    </row>
    <row r="35">
      <c r="A35" t="inlineStr">
        <is>
          <t>N18</t>
        </is>
      </c>
      <c r="B35" t="inlineStr">
        <is>
          <t>Mesh</t>
        </is>
      </c>
      <c r="C35" t="inlineStr">
        <is>
          <t>Top</t>
        </is>
      </c>
      <c r="D35" t="inlineStr">
        <is>
          <t>X</t>
        </is>
      </c>
      <c r="E35" t="n">
        <v>20</v>
      </c>
      <c r="F35" t="inlineStr">
        <is>
          <t>straight</t>
        </is>
      </c>
      <c r="G35" t="n">
        <v>6900</v>
      </c>
      <c r="H35" t="n">
        <v>11</v>
      </c>
      <c r="I35" s="2">
        <f>G35*H35/1000</f>
        <v/>
      </c>
      <c r="J35" t="n">
        <v>2.466</v>
      </c>
      <c r="K35" s="3">
        <f>I35*J35</f>
        <v/>
      </c>
      <c r="L35" t="inlineStr">
        <is>
          <t>11Φ20x690/20</t>
        </is>
      </c>
    </row>
    <row r="36">
      <c r="A36" t="inlineStr">
        <is>
          <t>N18</t>
        </is>
      </c>
      <c r="B36" t="inlineStr">
        <is>
          <t>Mesh</t>
        </is>
      </c>
      <c r="C36" t="inlineStr">
        <is>
          <t>Top</t>
        </is>
      </c>
      <c r="D36" t="inlineStr">
        <is>
          <t>X</t>
        </is>
      </c>
      <c r="E36" t="n">
        <v>20</v>
      </c>
      <c r="F36" t="inlineStr">
        <is>
          <t>straight</t>
        </is>
      </c>
      <c r="G36" t="n">
        <v>6900</v>
      </c>
      <c r="H36" t="n">
        <v>7</v>
      </c>
      <c r="I36" s="2">
        <f>G36*H36/1000</f>
        <v/>
      </c>
      <c r="J36" t="n">
        <v>2.466</v>
      </c>
      <c r="K36" s="3">
        <f>I36*J36</f>
        <v/>
      </c>
      <c r="L36" t="inlineStr">
        <is>
          <t>7Φ20x690/20</t>
        </is>
      </c>
    </row>
    <row r="37">
      <c r="A37" t="inlineStr">
        <is>
          <t>N19</t>
        </is>
      </c>
      <c r="B37" t="inlineStr">
        <is>
          <t>Mesh</t>
        </is>
      </c>
      <c r="C37" t="inlineStr">
        <is>
          <t>Top</t>
        </is>
      </c>
      <c r="D37" t="inlineStr">
        <is>
          <t>X</t>
        </is>
      </c>
      <c r="E37" t="n">
        <v>20</v>
      </c>
      <c r="F37" t="inlineStr">
        <is>
          <t>straight</t>
        </is>
      </c>
      <c r="G37" t="n">
        <v>6920</v>
      </c>
      <c r="H37" t="n">
        <v>1</v>
      </c>
      <c r="I37" s="2">
        <f>G37*H37/1000</f>
        <v/>
      </c>
      <c r="J37" t="n">
        <v>2.466</v>
      </c>
      <c r="K37" s="3">
        <f>I37*J37</f>
        <v/>
      </c>
      <c r="L37" t="inlineStr">
        <is>
          <t>1Φ20x692/20</t>
        </is>
      </c>
    </row>
    <row r="38">
      <c r="A38" t="inlineStr">
        <is>
          <t>N20</t>
        </is>
      </c>
      <c r="B38" t="inlineStr">
        <is>
          <t>Mesh</t>
        </is>
      </c>
      <c r="C38" t="inlineStr">
        <is>
          <t>Bottom</t>
        </is>
      </c>
      <c r="D38" t="inlineStr">
        <is>
          <t>Y</t>
        </is>
      </c>
      <c r="E38" t="n">
        <v>20</v>
      </c>
      <c r="F38" t="inlineStr">
        <is>
          <t>straight (variable, avg. length)</t>
        </is>
      </c>
      <c r="G38" t="n">
        <v>7070</v>
      </c>
      <c r="H38" t="n">
        <v>6</v>
      </c>
      <c r="I38" s="2">
        <f>G38*H38/1000</f>
        <v/>
      </c>
      <c r="J38" t="n">
        <v>2.466</v>
      </c>
      <c r="K38" s="3">
        <f>I38*J38</f>
        <v/>
      </c>
      <c r="L38" t="inlineStr">
        <is>
          <t>6Φ20x(644÷770)/20</t>
        </is>
      </c>
    </row>
    <row r="39">
      <c r="A39" t="inlineStr">
        <is>
          <t>N21</t>
        </is>
      </c>
      <c r="B39" t="inlineStr">
        <is>
          <t>Mesh</t>
        </is>
      </c>
      <c r="C39" t="inlineStr">
        <is>
          <t>Top</t>
        </is>
      </c>
      <c r="D39" t="inlineStr">
        <is>
          <t>X</t>
        </is>
      </c>
      <c r="E39" t="n">
        <v>20</v>
      </c>
      <c r="F39" t="inlineStr">
        <is>
          <t>straight (variable, avg. length)</t>
        </is>
      </c>
      <c r="G39" t="n">
        <v>7080</v>
      </c>
      <c r="H39" t="n">
        <v>9</v>
      </c>
      <c r="I39" s="2">
        <f>G39*H39/1000</f>
        <v/>
      </c>
      <c r="J39" t="n">
        <v>2.466</v>
      </c>
      <c r="K39" s="3">
        <f>I39*J39</f>
        <v/>
      </c>
      <c r="L39" t="inlineStr">
        <is>
          <t>9Φ20x(689÷848)/20</t>
        </is>
      </c>
    </row>
    <row r="40">
      <c r="A40" t="inlineStr">
        <is>
          <t>N22</t>
        </is>
      </c>
      <c r="B40" t="inlineStr">
        <is>
          <t>Mesh</t>
        </is>
      </c>
      <c r="C40" t="inlineStr">
        <is>
          <t>Bottom</t>
        </is>
      </c>
      <c r="D40" t="inlineStr">
        <is>
          <t>Y</t>
        </is>
      </c>
      <c r="E40" t="n">
        <v>20</v>
      </c>
      <c r="F40" t="inlineStr">
        <is>
          <t>straight</t>
        </is>
      </c>
      <c r="G40" t="n">
        <v>7260</v>
      </c>
      <c r="H40" t="n">
        <v>4</v>
      </c>
      <c r="I40" s="2">
        <f>G40*H40/1000</f>
        <v/>
      </c>
      <c r="J40" t="n">
        <v>2.466</v>
      </c>
      <c r="K40" s="3">
        <f>I40*J40</f>
        <v/>
      </c>
      <c r="L40" t="inlineStr">
        <is>
          <t>4Φ20x726/20</t>
        </is>
      </c>
    </row>
    <row r="41">
      <c r="A41" t="inlineStr">
        <is>
          <t>N23</t>
        </is>
      </c>
      <c r="B41" t="inlineStr">
        <is>
          <t>Mesh</t>
        </is>
      </c>
      <c r="C41" t="inlineStr">
        <is>
          <t>Top</t>
        </is>
      </c>
      <c r="D41" t="inlineStr">
        <is>
          <t>X</t>
        </is>
      </c>
      <c r="E41" t="n">
        <v>20</v>
      </c>
      <c r="F41" t="inlineStr">
        <is>
          <t>straight</t>
        </is>
      </c>
      <c r="G41" t="n">
        <v>7320</v>
      </c>
      <c r="H41" t="n">
        <v>8</v>
      </c>
      <c r="I41" s="2">
        <f>G41*H41/1000</f>
        <v/>
      </c>
      <c r="J41" t="n">
        <v>2.466</v>
      </c>
      <c r="K41" s="3">
        <f>I41*J41</f>
        <v/>
      </c>
      <c r="L41" t="inlineStr">
        <is>
          <t>8Φ20x732/20</t>
        </is>
      </c>
    </row>
    <row r="42">
      <c r="A42" t="inlineStr">
        <is>
          <t>N24</t>
        </is>
      </c>
      <c r="B42" t="inlineStr">
        <is>
          <t>Mesh</t>
        </is>
      </c>
      <c r="C42" t="inlineStr">
        <is>
          <t>Bottom</t>
        </is>
      </c>
      <c r="D42" t="inlineStr">
        <is>
          <t>Y</t>
        </is>
      </c>
      <c r="E42" t="n">
        <v>20</v>
      </c>
      <c r="F42" t="inlineStr">
        <is>
          <t>straight</t>
        </is>
      </c>
      <c r="G42" t="n">
        <v>7350</v>
      </c>
      <c r="H42" t="n">
        <v>3</v>
      </c>
      <c r="I42" s="2">
        <f>G42*H42/1000</f>
        <v/>
      </c>
      <c r="J42" t="n">
        <v>2.466</v>
      </c>
      <c r="K42" s="3">
        <f>I42*J42</f>
        <v/>
      </c>
      <c r="L42" t="inlineStr">
        <is>
          <t>3Φ20x735/20</t>
        </is>
      </c>
    </row>
    <row r="43">
      <c r="A43" t="inlineStr">
        <is>
          <t>N24</t>
        </is>
      </c>
      <c r="B43" t="inlineStr">
        <is>
          <t>Mesh</t>
        </is>
      </c>
      <c r="C43" t="inlineStr">
        <is>
          <t>Top</t>
        </is>
      </c>
      <c r="D43" t="inlineStr">
        <is>
          <t>Y</t>
        </is>
      </c>
      <c r="E43" t="n">
        <v>20</v>
      </c>
      <c r="F43" t="inlineStr">
        <is>
          <t>straight</t>
        </is>
      </c>
      <c r="G43" t="n">
        <v>7350</v>
      </c>
      <c r="H43" t="n">
        <v>3</v>
      </c>
      <c r="I43" s="2">
        <f>G43*H43/1000</f>
        <v/>
      </c>
      <c r="J43" t="n">
        <v>2.466</v>
      </c>
      <c r="K43" s="3">
        <f>I43*J43</f>
        <v/>
      </c>
      <c r="L43" t="inlineStr">
        <is>
          <t>3Φ20x735/20</t>
        </is>
      </c>
    </row>
    <row r="44">
      <c r="A44" t="inlineStr">
        <is>
          <t>N25</t>
        </is>
      </c>
      <c r="B44" t="inlineStr">
        <is>
          <t>Mesh</t>
        </is>
      </c>
      <c r="C44" t="inlineStr">
        <is>
          <t>Top</t>
        </is>
      </c>
      <c r="D44" t="inlineStr">
        <is>
          <t>Y</t>
        </is>
      </c>
      <c r="E44" t="n">
        <v>20</v>
      </c>
      <c r="F44" t="inlineStr">
        <is>
          <t>straight (variable, avg. length)</t>
        </is>
      </c>
      <c r="G44" t="n">
        <v>7420</v>
      </c>
      <c r="H44" t="n">
        <v>7</v>
      </c>
      <c r="I44" s="2">
        <f>G44*H44/1000</f>
        <v/>
      </c>
      <c r="J44" t="n">
        <v>2.466</v>
      </c>
      <c r="K44" s="3">
        <f>I44*J44</f>
        <v/>
      </c>
      <c r="L44" t="inlineStr">
        <is>
          <t>7Φ20x(558÷988)/20</t>
        </is>
      </c>
    </row>
    <row r="45">
      <c r="A45" t="inlineStr">
        <is>
          <t>N26</t>
        </is>
      </c>
      <c r="B45" t="inlineStr">
        <is>
          <t>Mesh</t>
        </is>
      </c>
      <c r="C45" t="inlineStr">
        <is>
          <t>Top</t>
        </is>
      </c>
      <c r="D45" t="inlineStr">
        <is>
          <t>X</t>
        </is>
      </c>
      <c r="E45" t="n">
        <v>20</v>
      </c>
      <c r="F45" t="inlineStr">
        <is>
          <t>straight (variable, avg. length)</t>
        </is>
      </c>
      <c r="G45" t="n">
        <v>7440</v>
      </c>
      <c r="H45" t="n">
        <v>8</v>
      </c>
      <c r="I45" s="2">
        <f>G45*H45/1000</f>
        <v/>
      </c>
      <c r="J45" t="n">
        <v>2.466</v>
      </c>
      <c r="K45" s="3">
        <f>I45*J45</f>
        <v/>
      </c>
      <c r="L45" t="inlineStr">
        <is>
          <t>8Φ20x(712÷762)/20</t>
        </is>
      </c>
    </row>
    <row r="46">
      <c r="A46" t="inlineStr">
        <is>
          <t>N27</t>
        </is>
      </c>
      <c r="B46" t="inlineStr">
        <is>
          <t>Mesh</t>
        </is>
      </c>
      <c r="C46" t="inlineStr">
        <is>
          <t>Bottom</t>
        </is>
      </c>
      <c r="D46" t="inlineStr">
        <is>
          <t>X</t>
        </is>
      </c>
      <c r="E46" t="n">
        <v>20</v>
      </c>
      <c r="F46" t="inlineStr">
        <is>
          <t>straight (variable, avg. length)</t>
        </is>
      </c>
      <c r="G46" t="n">
        <v>7500</v>
      </c>
      <c r="H46" t="n">
        <v>9</v>
      </c>
      <c r="I46" s="2">
        <f>G46*H46/1000</f>
        <v/>
      </c>
      <c r="J46" t="n">
        <v>2.466</v>
      </c>
      <c r="K46" s="3">
        <f>I46*J46</f>
        <v/>
      </c>
      <c r="L46" t="inlineStr">
        <is>
          <t>9Φ20x(689÷848)/20</t>
        </is>
      </c>
    </row>
    <row r="47">
      <c r="A47" t="inlineStr">
        <is>
          <t>N28</t>
        </is>
      </c>
      <c r="B47" t="inlineStr">
        <is>
          <t>Mesh</t>
        </is>
      </c>
      <c r="C47" t="inlineStr">
        <is>
          <t>Top</t>
        </is>
      </c>
      <c r="D47" t="inlineStr">
        <is>
          <t>X</t>
        </is>
      </c>
      <c r="E47" t="n">
        <v>20</v>
      </c>
      <c r="F47" t="inlineStr">
        <is>
          <t>straight</t>
        </is>
      </c>
      <c r="G47" t="n">
        <v>7520</v>
      </c>
      <c r="H47" t="n">
        <v>11</v>
      </c>
      <c r="I47" s="2">
        <f>G47*H47/1000</f>
        <v/>
      </c>
      <c r="J47" t="n">
        <v>2.466</v>
      </c>
      <c r="K47" s="3">
        <f>I47*J47</f>
        <v/>
      </c>
      <c r="L47" t="inlineStr">
        <is>
          <t>11Φ20x752/20</t>
        </is>
      </c>
    </row>
    <row r="48">
      <c r="A48" t="inlineStr">
        <is>
          <t>N28</t>
        </is>
      </c>
      <c r="B48" t="inlineStr">
        <is>
          <t>Mesh</t>
        </is>
      </c>
      <c r="C48" t="inlineStr">
        <is>
          <t>Top</t>
        </is>
      </c>
      <c r="D48" t="inlineStr">
        <is>
          <t>X</t>
        </is>
      </c>
      <c r="E48" t="n">
        <v>20</v>
      </c>
      <c r="F48" t="inlineStr">
        <is>
          <t>straight</t>
        </is>
      </c>
      <c r="G48" t="n">
        <v>7520</v>
      </c>
      <c r="H48" t="n">
        <v>11</v>
      </c>
      <c r="I48" s="2">
        <f>G48*H48/1000</f>
        <v/>
      </c>
      <c r="J48" t="n">
        <v>2.466</v>
      </c>
      <c r="K48" s="3">
        <f>I48*J48</f>
        <v/>
      </c>
      <c r="L48" t="inlineStr">
        <is>
          <t>11Φ20x752/20</t>
        </is>
      </c>
    </row>
    <row r="49">
      <c r="A49" t="inlineStr">
        <is>
          <t>N29</t>
        </is>
      </c>
      <c r="B49" t="inlineStr">
        <is>
          <t>Mesh</t>
        </is>
      </c>
      <c r="C49" t="inlineStr">
        <is>
          <t>Bottom</t>
        </is>
      </c>
      <c r="D49" t="inlineStr">
        <is>
          <t>X</t>
        </is>
      </c>
      <c r="E49" t="n">
        <v>20</v>
      </c>
      <c r="F49" t="inlineStr">
        <is>
          <t>straight</t>
        </is>
      </c>
      <c r="G49" t="n">
        <v>7540</v>
      </c>
      <c r="H49" t="n">
        <v>1</v>
      </c>
      <c r="I49" s="2">
        <f>G49*H49/1000</f>
        <v/>
      </c>
      <c r="J49" t="n">
        <v>2.466</v>
      </c>
      <c r="K49" s="3">
        <f>I49*J49</f>
        <v/>
      </c>
      <c r="L49" t="inlineStr">
        <is>
          <t>1Φ20x754/20</t>
        </is>
      </c>
    </row>
    <row r="50">
      <c r="A50" t="inlineStr">
        <is>
          <t>N30</t>
        </is>
      </c>
      <c r="B50" t="inlineStr">
        <is>
          <t>Mesh</t>
        </is>
      </c>
      <c r="C50" t="inlineStr">
        <is>
          <t>Top</t>
        </is>
      </c>
      <c r="D50" t="inlineStr">
        <is>
          <t>Y</t>
        </is>
      </c>
      <c r="E50" t="n">
        <v>20</v>
      </c>
      <c r="F50" t="inlineStr">
        <is>
          <t>straight (variable, avg. length)</t>
        </is>
      </c>
      <c r="G50" t="n">
        <v>7540</v>
      </c>
      <c r="H50" t="n">
        <v>10</v>
      </c>
      <c r="I50" s="2">
        <f>G50*H50/1000</f>
        <v/>
      </c>
      <c r="J50" t="n">
        <v>2.466</v>
      </c>
      <c r="K50" s="3">
        <f>I50*J50</f>
        <v/>
      </c>
      <c r="L50" t="inlineStr">
        <is>
          <t>10Φ20x(570÷940)/20</t>
        </is>
      </c>
    </row>
    <row r="51">
      <c r="A51" t="inlineStr">
        <is>
          <t>N31</t>
        </is>
      </c>
      <c r="B51" t="inlineStr">
        <is>
          <t>Mesh</t>
        </is>
      </c>
      <c r="C51" t="inlineStr">
        <is>
          <t>Bottom</t>
        </is>
      </c>
      <c r="D51" t="inlineStr">
        <is>
          <t>X</t>
        </is>
      </c>
      <c r="E51" t="n">
        <v>20</v>
      </c>
      <c r="F51" t="inlineStr">
        <is>
          <t>straight</t>
        </is>
      </c>
      <c r="G51" t="n">
        <v>7550</v>
      </c>
      <c r="H51" t="n">
        <v>1</v>
      </c>
      <c r="I51" s="2">
        <f>G51*H51/1000</f>
        <v/>
      </c>
      <c r="J51" t="n">
        <v>2.466</v>
      </c>
      <c r="K51" s="3">
        <f>I51*J51</f>
        <v/>
      </c>
      <c r="L51" t="inlineStr">
        <is>
          <t>1Φ20x755/20</t>
        </is>
      </c>
    </row>
    <row r="52">
      <c r="A52" t="inlineStr">
        <is>
          <t>N31</t>
        </is>
      </c>
      <c r="B52" t="inlineStr">
        <is>
          <t>Mesh</t>
        </is>
      </c>
      <c r="C52" t="inlineStr">
        <is>
          <t>Top</t>
        </is>
      </c>
      <c r="D52" t="inlineStr">
        <is>
          <t>X</t>
        </is>
      </c>
      <c r="E52" t="n">
        <v>20</v>
      </c>
      <c r="F52" t="inlineStr">
        <is>
          <t>straight</t>
        </is>
      </c>
      <c r="G52" t="n">
        <v>7550</v>
      </c>
      <c r="H52" t="n">
        <v>1</v>
      </c>
      <c r="I52" s="2">
        <f>G52*H52/1000</f>
        <v/>
      </c>
      <c r="J52" t="n">
        <v>2.466</v>
      </c>
      <c r="K52" s="3">
        <f>I52*J52</f>
        <v/>
      </c>
      <c r="L52" t="inlineStr">
        <is>
          <t>1Φ20x755/20</t>
        </is>
      </c>
    </row>
    <row r="53">
      <c r="A53" t="inlineStr">
        <is>
          <t>N32</t>
        </is>
      </c>
      <c r="B53" t="inlineStr">
        <is>
          <t>Mesh</t>
        </is>
      </c>
      <c r="C53" t="inlineStr">
        <is>
          <t>Bottom</t>
        </is>
      </c>
      <c r="D53" t="inlineStr">
        <is>
          <t>Y</t>
        </is>
      </c>
      <c r="E53" t="n">
        <v>20</v>
      </c>
      <c r="F53" t="inlineStr">
        <is>
          <t>straight</t>
        </is>
      </c>
      <c r="G53" t="n">
        <v>7620</v>
      </c>
      <c r="H53" t="n">
        <v>22</v>
      </c>
      <c r="I53" s="2">
        <f>G53*H53/1000</f>
        <v/>
      </c>
      <c r="J53" t="n">
        <v>2.466</v>
      </c>
      <c r="K53" s="3">
        <f>I53*J53</f>
        <v/>
      </c>
      <c r="L53" t="inlineStr">
        <is>
          <t>22Φ20x762/20</t>
        </is>
      </c>
    </row>
    <row r="54">
      <c r="A54" t="inlineStr">
        <is>
          <t>N32</t>
        </is>
      </c>
      <c r="B54" t="inlineStr">
        <is>
          <t>Mesh</t>
        </is>
      </c>
      <c r="C54" t="inlineStr">
        <is>
          <t>Top</t>
        </is>
      </c>
      <c r="D54" t="inlineStr">
        <is>
          <t>X</t>
        </is>
      </c>
      <c r="E54" t="n">
        <v>20</v>
      </c>
      <c r="F54" t="inlineStr">
        <is>
          <t>straight</t>
        </is>
      </c>
      <c r="G54" t="n">
        <v>7620</v>
      </c>
      <c r="H54" t="n">
        <v>1</v>
      </c>
      <c r="I54" s="2">
        <f>G54*H54/1000</f>
        <v/>
      </c>
      <c r="J54" t="n">
        <v>2.466</v>
      </c>
      <c r="K54" s="3">
        <f>I54*J54</f>
        <v/>
      </c>
      <c r="L54" t="inlineStr">
        <is>
          <t>1Φ20x762/20</t>
        </is>
      </c>
    </row>
    <row r="55">
      <c r="A55" t="inlineStr">
        <is>
          <t>N33</t>
        </is>
      </c>
      <c r="B55" t="inlineStr">
        <is>
          <t>Mesh</t>
        </is>
      </c>
      <c r="C55" t="inlineStr">
        <is>
          <t>Top</t>
        </is>
      </c>
      <c r="D55" t="inlineStr">
        <is>
          <t>Y</t>
        </is>
      </c>
      <c r="E55" t="n">
        <v>20</v>
      </c>
      <c r="F55" t="inlineStr">
        <is>
          <t>straight (variable, avg. length)</t>
        </is>
      </c>
      <c r="G55" t="n">
        <v>7660</v>
      </c>
      <c r="H55" t="n">
        <v>9</v>
      </c>
      <c r="I55" s="2">
        <f>G55*H55/1000</f>
        <v/>
      </c>
      <c r="J55" t="n">
        <v>2.466</v>
      </c>
      <c r="K55" s="3">
        <f>I55*J55</f>
        <v/>
      </c>
      <c r="L55" t="inlineStr">
        <is>
          <t>9Φ20x(510÷1086)/20</t>
        </is>
      </c>
    </row>
    <row r="56">
      <c r="A56" t="inlineStr">
        <is>
          <t>N34</t>
        </is>
      </c>
      <c r="B56" t="inlineStr">
        <is>
          <t>Mesh</t>
        </is>
      </c>
      <c r="C56" t="inlineStr">
        <is>
          <t>Top</t>
        </is>
      </c>
      <c r="D56" t="inlineStr">
        <is>
          <t>X</t>
        </is>
      </c>
      <c r="E56" t="n">
        <v>20</v>
      </c>
      <c r="F56" t="inlineStr">
        <is>
          <t>straight</t>
        </is>
      </c>
      <c r="G56" t="n">
        <v>7720</v>
      </c>
      <c r="H56" t="n">
        <v>12</v>
      </c>
      <c r="I56" s="2">
        <f>G56*H56/1000</f>
        <v/>
      </c>
      <c r="J56" t="n">
        <v>2.466</v>
      </c>
      <c r="K56" s="3">
        <f>I56*J56</f>
        <v/>
      </c>
      <c r="L56" t="inlineStr">
        <is>
          <t>12Φ20x772/20</t>
        </is>
      </c>
    </row>
    <row r="57">
      <c r="A57" t="inlineStr">
        <is>
          <t>N35</t>
        </is>
      </c>
      <c r="B57" t="inlineStr">
        <is>
          <t>Mesh</t>
        </is>
      </c>
      <c r="C57" t="inlineStr">
        <is>
          <t>Bottom</t>
        </is>
      </c>
      <c r="D57" t="inlineStr">
        <is>
          <t>X</t>
        </is>
      </c>
      <c r="E57" t="n">
        <v>20</v>
      </c>
      <c r="F57" t="inlineStr">
        <is>
          <t>straight</t>
        </is>
      </c>
      <c r="G57" t="n">
        <v>7940</v>
      </c>
      <c r="H57" t="n">
        <v>8</v>
      </c>
      <c r="I57" s="2">
        <f>G57*H57/1000</f>
        <v/>
      </c>
      <c r="J57" t="n">
        <v>2.466</v>
      </c>
      <c r="K57" s="3">
        <f>I57*J57</f>
        <v/>
      </c>
      <c r="L57" t="inlineStr">
        <is>
          <t>8Φ20x794/20</t>
        </is>
      </c>
    </row>
    <row r="58">
      <c r="A58" t="inlineStr">
        <is>
          <t>N36</t>
        </is>
      </c>
      <c r="B58" t="inlineStr">
        <is>
          <t>Mesh</t>
        </is>
      </c>
      <c r="C58" t="inlineStr">
        <is>
          <t>Bottom</t>
        </is>
      </c>
      <c r="D58" t="inlineStr">
        <is>
          <t>X</t>
        </is>
      </c>
      <c r="E58" t="n">
        <v>20</v>
      </c>
      <c r="F58" t="inlineStr">
        <is>
          <t>straight (variable, avg. length)</t>
        </is>
      </c>
      <c r="G58" t="n">
        <v>8070</v>
      </c>
      <c r="H58" t="n">
        <v>8</v>
      </c>
      <c r="I58" s="2">
        <f>G58*H58/1000</f>
        <v/>
      </c>
      <c r="J58" t="n">
        <v>2.466</v>
      </c>
      <c r="K58" s="3">
        <f>I58*J58</f>
        <v/>
      </c>
      <c r="L58" t="inlineStr">
        <is>
          <t>8Φ20x(776÷826)/20</t>
        </is>
      </c>
    </row>
    <row r="59">
      <c r="A59" t="inlineStr">
        <is>
          <t>N37</t>
        </is>
      </c>
      <c r="B59" t="inlineStr">
        <is>
          <t>Mesh</t>
        </is>
      </c>
      <c r="C59" t="inlineStr">
        <is>
          <t>Top</t>
        </is>
      </c>
      <c r="D59" t="inlineStr">
        <is>
          <t>Y</t>
        </is>
      </c>
      <c r="E59" t="n">
        <v>20</v>
      </c>
      <c r="F59" t="inlineStr">
        <is>
          <t>straight (variable, avg. length)</t>
        </is>
      </c>
      <c r="G59" t="n">
        <v>8150</v>
      </c>
      <c r="H59" t="n">
        <v>6</v>
      </c>
      <c r="I59" s="2">
        <f>G59*H59/1000</f>
        <v/>
      </c>
      <c r="J59" t="n">
        <v>2.466</v>
      </c>
      <c r="K59" s="3">
        <f>I59*J59</f>
        <v/>
      </c>
      <c r="L59" t="inlineStr">
        <is>
          <t>6Φ20x(770÷860)/20</t>
        </is>
      </c>
    </row>
    <row r="60">
      <c r="A60" t="inlineStr">
        <is>
          <t>N38</t>
        </is>
      </c>
      <c r="B60" t="inlineStr">
        <is>
          <t>Mesh</t>
        </is>
      </c>
      <c r="C60" t="inlineStr">
        <is>
          <t>Bottom</t>
        </is>
      </c>
      <c r="D60" t="inlineStr">
        <is>
          <t>Y</t>
        </is>
      </c>
      <c r="E60" t="n">
        <v>20</v>
      </c>
      <c r="F60" t="inlineStr">
        <is>
          <t>straight</t>
        </is>
      </c>
      <c r="G60" t="n">
        <v>8180</v>
      </c>
      <c r="H60" t="n">
        <v>3</v>
      </c>
      <c r="I60" s="2">
        <f>G60*H60/1000</f>
        <v/>
      </c>
      <c r="J60" t="n">
        <v>2.466</v>
      </c>
      <c r="K60" s="3">
        <f>I60*J60</f>
        <v/>
      </c>
      <c r="L60" t="inlineStr">
        <is>
          <t>3Φ20x818/20</t>
        </is>
      </c>
    </row>
    <row r="61">
      <c r="A61" t="inlineStr">
        <is>
          <t>N39</t>
        </is>
      </c>
      <c r="B61" t="inlineStr">
        <is>
          <t>Mesh</t>
        </is>
      </c>
      <c r="C61" t="inlineStr">
        <is>
          <t>Bottom</t>
        </is>
      </c>
      <c r="D61" t="inlineStr">
        <is>
          <t>X</t>
        </is>
      </c>
      <c r="E61" t="n">
        <v>20</v>
      </c>
      <c r="F61" t="inlineStr">
        <is>
          <t>straight</t>
        </is>
      </c>
      <c r="G61" t="n">
        <v>8240</v>
      </c>
      <c r="H61" t="n">
        <v>3</v>
      </c>
      <c r="I61" s="2">
        <f>G61*H61/1000</f>
        <v/>
      </c>
      <c r="J61" t="n">
        <v>2.466</v>
      </c>
      <c r="K61" s="3">
        <f>I61*J61</f>
        <v/>
      </c>
      <c r="L61" t="inlineStr">
        <is>
          <t>3Φ20x824/20</t>
        </is>
      </c>
    </row>
    <row r="62">
      <c r="A62" t="inlineStr">
        <is>
          <t>N39</t>
        </is>
      </c>
      <c r="B62" t="inlineStr">
        <is>
          <t>Mesh</t>
        </is>
      </c>
      <c r="C62" t="inlineStr">
        <is>
          <t>Top</t>
        </is>
      </c>
      <c r="D62" t="inlineStr">
        <is>
          <t>X</t>
        </is>
      </c>
      <c r="E62" t="n">
        <v>20</v>
      </c>
      <c r="F62" t="inlineStr">
        <is>
          <t>straight</t>
        </is>
      </c>
      <c r="G62" t="n">
        <v>8240</v>
      </c>
      <c r="H62" t="n">
        <v>3</v>
      </c>
      <c r="I62" s="2">
        <f>G62*H62/1000</f>
        <v/>
      </c>
      <c r="J62" t="n">
        <v>2.466</v>
      </c>
      <c r="K62" s="3">
        <f>I62*J62</f>
        <v/>
      </c>
      <c r="L62" t="inlineStr">
        <is>
          <t>3Φ20x824/20</t>
        </is>
      </c>
    </row>
    <row r="63">
      <c r="A63" t="inlineStr">
        <is>
          <t>N40</t>
        </is>
      </c>
      <c r="B63" t="inlineStr">
        <is>
          <t>Mesh</t>
        </is>
      </c>
      <c r="C63" t="inlineStr">
        <is>
          <t>Bottom</t>
        </is>
      </c>
      <c r="D63" t="inlineStr">
        <is>
          <t>X</t>
        </is>
      </c>
      <c r="E63" t="n">
        <v>20</v>
      </c>
      <c r="F63" t="inlineStr">
        <is>
          <t>straight</t>
        </is>
      </c>
      <c r="G63" t="n">
        <v>8250</v>
      </c>
      <c r="H63" t="n">
        <v>6</v>
      </c>
      <c r="I63" s="2">
        <f>G63*H63/1000</f>
        <v/>
      </c>
      <c r="J63" t="n">
        <v>2.466</v>
      </c>
      <c r="K63" s="3">
        <f>I63*J63</f>
        <v/>
      </c>
      <c r="L63" t="inlineStr">
        <is>
          <t>6Φ20x825/20</t>
        </is>
      </c>
    </row>
    <row r="64">
      <c r="A64" t="inlineStr">
        <is>
          <t>N40</t>
        </is>
      </c>
      <c r="B64" t="inlineStr">
        <is>
          <t>Mesh</t>
        </is>
      </c>
      <c r="C64" t="inlineStr">
        <is>
          <t>Top</t>
        </is>
      </c>
      <c r="D64" t="inlineStr">
        <is>
          <t>X</t>
        </is>
      </c>
      <c r="E64" t="n">
        <v>20</v>
      </c>
      <c r="F64" t="inlineStr">
        <is>
          <t>straight</t>
        </is>
      </c>
      <c r="G64" t="n">
        <v>8250</v>
      </c>
      <c r="H64" t="n">
        <v>1</v>
      </c>
      <c r="I64" s="2">
        <f>G64*H64/1000</f>
        <v/>
      </c>
      <c r="J64" t="n">
        <v>2.466</v>
      </c>
      <c r="K64" s="3">
        <f>I64*J64</f>
        <v/>
      </c>
      <c r="L64" t="inlineStr">
        <is>
          <t>1Φ20x825/20</t>
        </is>
      </c>
    </row>
    <row r="65">
      <c r="A65" t="inlineStr">
        <is>
          <t>N41</t>
        </is>
      </c>
      <c r="B65" t="inlineStr">
        <is>
          <t>Mesh</t>
        </is>
      </c>
      <c r="C65" t="inlineStr">
        <is>
          <t>Bottom</t>
        </is>
      </c>
      <c r="D65" t="inlineStr">
        <is>
          <t>X</t>
        </is>
      </c>
      <c r="E65" t="n">
        <v>20</v>
      </c>
      <c r="F65" t="inlineStr">
        <is>
          <t>straight</t>
        </is>
      </c>
      <c r="G65" t="n">
        <v>8360</v>
      </c>
      <c r="H65" t="n">
        <v>12</v>
      </c>
      <c r="I65" s="2">
        <f>G65*H65/1000</f>
        <v/>
      </c>
      <c r="J65" t="n">
        <v>2.466</v>
      </c>
      <c r="K65" s="3">
        <f>I65*J65</f>
        <v/>
      </c>
      <c r="L65" t="inlineStr">
        <is>
          <t>12Φ20x836/20</t>
        </is>
      </c>
    </row>
    <row r="66">
      <c r="A66" t="inlineStr">
        <is>
          <t>N42</t>
        </is>
      </c>
      <c r="B66" t="inlineStr">
        <is>
          <t>Mesh</t>
        </is>
      </c>
      <c r="C66" t="inlineStr">
        <is>
          <t>Top</t>
        </is>
      </c>
      <c r="D66" t="inlineStr">
        <is>
          <t>X</t>
        </is>
      </c>
      <c r="E66" t="n">
        <v>20</v>
      </c>
      <c r="F66" t="inlineStr">
        <is>
          <t>straight</t>
        </is>
      </c>
      <c r="G66" t="n">
        <v>8780</v>
      </c>
      <c r="H66" t="n">
        <v>20</v>
      </c>
      <c r="I66" s="2">
        <f>G66*H66/1000</f>
        <v/>
      </c>
      <c r="J66" t="n">
        <v>2.466</v>
      </c>
      <c r="K66" s="3">
        <f>I66*J66</f>
        <v/>
      </c>
      <c r="L66" t="inlineStr">
        <is>
          <t>20Φ20x878/20</t>
        </is>
      </c>
    </row>
    <row r="67">
      <c r="A67" t="inlineStr">
        <is>
          <t>N43</t>
        </is>
      </c>
      <c r="B67" t="inlineStr">
        <is>
          <t>Mesh</t>
        </is>
      </c>
      <c r="C67" t="inlineStr">
        <is>
          <t>Top</t>
        </is>
      </c>
      <c r="D67" t="inlineStr">
        <is>
          <t>X</t>
        </is>
      </c>
      <c r="E67" t="n">
        <v>20</v>
      </c>
      <c r="F67" t="inlineStr">
        <is>
          <t>straight (variable, avg. length)</t>
        </is>
      </c>
      <c r="G67" t="n">
        <v>8940</v>
      </c>
      <c r="H67" t="n">
        <v>10</v>
      </c>
      <c r="I67" s="2">
        <f>G67*H67/1000</f>
        <v/>
      </c>
      <c r="J67" t="n">
        <v>2.466</v>
      </c>
      <c r="K67" s="3">
        <f>I67*J67</f>
        <v/>
      </c>
      <c r="L67" t="inlineStr">
        <is>
          <t>10Φ20x(825÷940)/20</t>
        </is>
      </c>
    </row>
    <row r="68">
      <c r="A68" t="inlineStr">
        <is>
          <t>N44</t>
        </is>
      </c>
      <c r="B68" t="inlineStr">
        <is>
          <t>Mesh</t>
        </is>
      </c>
      <c r="C68" t="inlineStr">
        <is>
          <t>Bottom</t>
        </is>
      </c>
      <c r="D68" t="inlineStr">
        <is>
          <t>Y</t>
        </is>
      </c>
      <c r="E68" t="n">
        <v>20</v>
      </c>
      <c r="F68" t="inlineStr">
        <is>
          <t>straight</t>
        </is>
      </c>
      <c r="G68" t="n">
        <v>9000</v>
      </c>
      <c r="H68" t="n">
        <v>22</v>
      </c>
      <c r="I68" s="2">
        <f>G68*H68/1000</f>
        <v/>
      </c>
      <c r="J68" t="n">
        <v>2.466</v>
      </c>
      <c r="K68" s="3">
        <f>I68*J68</f>
        <v/>
      </c>
      <c r="L68" t="inlineStr">
        <is>
          <t>22Φ20x900/20</t>
        </is>
      </c>
    </row>
    <row r="69">
      <c r="A69" t="inlineStr">
        <is>
          <t>N44</t>
        </is>
      </c>
      <c r="B69" t="inlineStr">
        <is>
          <t>Mesh</t>
        </is>
      </c>
      <c r="C69" t="inlineStr">
        <is>
          <t>Bottom</t>
        </is>
      </c>
      <c r="D69" t="inlineStr">
        <is>
          <t>Y</t>
        </is>
      </c>
      <c r="E69" t="n">
        <v>20</v>
      </c>
      <c r="F69" t="inlineStr">
        <is>
          <t>straight</t>
        </is>
      </c>
      <c r="G69" t="n">
        <v>9000</v>
      </c>
      <c r="H69" t="n">
        <v>9</v>
      </c>
      <c r="I69" s="2">
        <f>G69*H69/1000</f>
        <v/>
      </c>
      <c r="J69" t="n">
        <v>2.466</v>
      </c>
      <c r="K69" s="3">
        <f>I69*J69</f>
        <v/>
      </c>
      <c r="L69" t="inlineStr">
        <is>
          <t>9Φ20x900/20</t>
        </is>
      </c>
    </row>
    <row r="70">
      <c r="A70" t="inlineStr">
        <is>
          <t>N44</t>
        </is>
      </c>
      <c r="B70" t="inlineStr">
        <is>
          <t>Mesh</t>
        </is>
      </c>
      <c r="C70" t="inlineStr">
        <is>
          <t>Top</t>
        </is>
      </c>
      <c r="D70" t="inlineStr">
        <is>
          <t>Y</t>
        </is>
      </c>
      <c r="E70" t="n">
        <v>20</v>
      </c>
      <c r="F70" t="inlineStr">
        <is>
          <t>straight</t>
        </is>
      </c>
      <c r="G70" t="n">
        <v>9000</v>
      </c>
      <c r="H70" t="n">
        <v>22</v>
      </c>
      <c r="I70" s="2">
        <f>G70*H70/1000</f>
        <v/>
      </c>
      <c r="J70" t="n">
        <v>2.466</v>
      </c>
      <c r="K70" s="3">
        <f>I70*J70</f>
        <v/>
      </c>
      <c r="L70" t="inlineStr">
        <is>
          <t>22Φ20x900/20</t>
        </is>
      </c>
    </row>
    <row r="71">
      <c r="A71" t="inlineStr">
        <is>
          <t>N44</t>
        </is>
      </c>
      <c r="B71" t="inlineStr">
        <is>
          <t>Mesh</t>
        </is>
      </c>
      <c r="C71" t="inlineStr">
        <is>
          <t>Top</t>
        </is>
      </c>
      <c r="D71" t="inlineStr">
        <is>
          <t>Y</t>
        </is>
      </c>
      <c r="E71" t="n">
        <v>20</v>
      </c>
      <c r="F71" t="inlineStr">
        <is>
          <t>straight</t>
        </is>
      </c>
      <c r="G71" t="n">
        <v>9000</v>
      </c>
      <c r="H71" t="n">
        <v>9</v>
      </c>
      <c r="I71" s="2">
        <f>G71*H71/1000</f>
        <v/>
      </c>
      <c r="J71" t="n">
        <v>2.466</v>
      </c>
      <c r="K71" s="3">
        <f>I71*J71</f>
        <v/>
      </c>
      <c r="L71" t="inlineStr">
        <is>
          <t>9Φ20x900/20</t>
        </is>
      </c>
    </row>
    <row r="72">
      <c r="A72" t="inlineStr">
        <is>
          <t>N45</t>
        </is>
      </c>
      <c r="B72" t="inlineStr">
        <is>
          <t>Mesh</t>
        </is>
      </c>
      <c r="C72" t="inlineStr">
        <is>
          <t>Bottom</t>
        </is>
      </c>
      <c r="D72" t="inlineStr">
        <is>
          <t>X</t>
        </is>
      </c>
      <c r="E72" t="n">
        <v>20</v>
      </c>
      <c r="F72" t="inlineStr">
        <is>
          <t>straight</t>
        </is>
      </c>
      <c r="G72" t="n">
        <v>9100</v>
      </c>
      <c r="H72" t="n">
        <v>31</v>
      </c>
      <c r="I72" s="2">
        <f>G72*H72/1000</f>
        <v/>
      </c>
      <c r="J72" t="n">
        <v>2.466</v>
      </c>
      <c r="K72" s="3">
        <f>I72*J72</f>
        <v/>
      </c>
      <c r="L72" t="inlineStr">
        <is>
          <t>31Φ20x910/20</t>
        </is>
      </c>
    </row>
    <row r="73">
      <c r="A73" t="inlineStr">
        <is>
          <t>N46</t>
        </is>
      </c>
      <c r="B73" t="inlineStr">
        <is>
          <t>Mesh</t>
        </is>
      </c>
      <c r="C73" t="inlineStr">
        <is>
          <t>Top</t>
        </is>
      </c>
      <c r="D73" t="inlineStr">
        <is>
          <t>Y</t>
        </is>
      </c>
      <c r="E73" t="n">
        <v>20</v>
      </c>
      <c r="F73" t="inlineStr">
        <is>
          <t>straight</t>
        </is>
      </c>
      <c r="G73" t="n">
        <v>9140</v>
      </c>
      <c r="H73" t="n">
        <v>34</v>
      </c>
      <c r="I73" s="2">
        <f>G73*H73/1000</f>
        <v/>
      </c>
      <c r="J73" t="n">
        <v>2.466</v>
      </c>
      <c r="K73" s="3">
        <f>I73*J73</f>
        <v/>
      </c>
      <c r="L73" t="inlineStr">
        <is>
          <t>34Φ20x914/20</t>
        </is>
      </c>
    </row>
    <row r="74">
      <c r="A74" t="inlineStr">
        <is>
          <t>N47</t>
        </is>
      </c>
      <c r="B74" t="inlineStr">
        <is>
          <t>Mesh</t>
        </is>
      </c>
      <c r="C74" t="inlineStr">
        <is>
          <t>Top</t>
        </is>
      </c>
      <c r="D74" t="inlineStr">
        <is>
          <t>Y</t>
        </is>
      </c>
      <c r="E74" t="n">
        <v>20</v>
      </c>
      <c r="F74" t="inlineStr">
        <is>
          <t>straight</t>
        </is>
      </c>
      <c r="G74" t="n">
        <v>9160</v>
      </c>
      <c r="H74" t="n">
        <v>35</v>
      </c>
      <c r="I74" s="2">
        <f>G74*H74/1000</f>
        <v/>
      </c>
      <c r="J74" t="n">
        <v>2.466</v>
      </c>
      <c r="K74" s="3">
        <f>I74*J74</f>
        <v/>
      </c>
      <c r="L74" t="inlineStr">
        <is>
          <t>35Φ20x916/20</t>
        </is>
      </c>
    </row>
    <row r="75">
      <c r="A75" t="inlineStr">
        <is>
          <t>N48</t>
        </is>
      </c>
      <c r="B75" t="inlineStr">
        <is>
          <t>Mesh</t>
        </is>
      </c>
      <c r="C75" t="inlineStr">
        <is>
          <t>Bottom</t>
        </is>
      </c>
      <c r="D75" t="inlineStr">
        <is>
          <t>X</t>
        </is>
      </c>
      <c r="E75" t="n">
        <v>20</v>
      </c>
      <c r="F75" t="inlineStr">
        <is>
          <t>straight</t>
        </is>
      </c>
      <c r="G75" t="n">
        <v>9240</v>
      </c>
      <c r="H75" t="n">
        <v>26</v>
      </c>
      <c r="I75" s="2">
        <f>G75*H75/1000</f>
        <v/>
      </c>
      <c r="J75" t="n">
        <v>2.466</v>
      </c>
      <c r="K75" s="3">
        <f>I75*J75</f>
        <v/>
      </c>
      <c r="L75" t="inlineStr">
        <is>
          <t>26Φ20x924/20</t>
        </is>
      </c>
    </row>
    <row r="76">
      <c r="A76" t="inlineStr">
        <is>
          <t>N48</t>
        </is>
      </c>
      <c r="B76" t="inlineStr">
        <is>
          <t>Mesh</t>
        </is>
      </c>
      <c r="C76" t="inlineStr">
        <is>
          <t>Top</t>
        </is>
      </c>
      <c r="D76" t="inlineStr">
        <is>
          <t>X</t>
        </is>
      </c>
      <c r="E76" t="n">
        <v>20</v>
      </c>
      <c r="F76" t="inlineStr">
        <is>
          <t>straight</t>
        </is>
      </c>
      <c r="G76" t="n">
        <v>9240</v>
      </c>
      <c r="H76" t="n">
        <v>26</v>
      </c>
      <c r="I76" s="2">
        <f>G76*H76/1000</f>
        <v/>
      </c>
      <c r="J76" t="n">
        <v>2.466</v>
      </c>
      <c r="K76" s="3">
        <f>I76*J76</f>
        <v/>
      </c>
      <c r="L76" t="inlineStr">
        <is>
          <t>26Φ20x924/20</t>
        </is>
      </c>
    </row>
    <row r="77">
      <c r="A77" t="inlineStr">
        <is>
          <t>N49</t>
        </is>
      </c>
      <c r="B77" t="inlineStr">
        <is>
          <t>Mesh</t>
        </is>
      </c>
      <c r="C77" t="inlineStr">
        <is>
          <t>Top</t>
        </is>
      </c>
      <c r="D77" t="inlineStr">
        <is>
          <t>X</t>
        </is>
      </c>
      <c r="E77" t="n">
        <v>20</v>
      </c>
      <c r="F77" t="inlineStr">
        <is>
          <t>straight</t>
        </is>
      </c>
      <c r="G77" t="n">
        <v>9320</v>
      </c>
      <c r="H77" t="n">
        <v>45</v>
      </c>
      <c r="I77" s="2">
        <f>G77*H77/1000</f>
        <v/>
      </c>
      <c r="J77" t="n">
        <v>2.466</v>
      </c>
      <c r="K77" s="3">
        <f>I77*J77</f>
        <v/>
      </c>
      <c r="L77" t="inlineStr">
        <is>
          <t>45Φ20x932/20</t>
        </is>
      </c>
    </row>
    <row r="78">
      <c r="A78" t="inlineStr">
        <is>
          <t>N50</t>
        </is>
      </c>
      <c r="B78" t="inlineStr">
        <is>
          <t>Mesh</t>
        </is>
      </c>
      <c r="C78" t="inlineStr">
        <is>
          <t>Bottom</t>
        </is>
      </c>
      <c r="D78" t="inlineStr">
        <is>
          <t>X</t>
        </is>
      </c>
      <c r="E78" t="n">
        <v>20</v>
      </c>
      <c r="F78" t="inlineStr">
        <is>
          <t>straight</t>
        </is>
      </c>
      <c r="G78" t="n">
        <v>9400</v>
      </c>
      <c r="H78" t="n">
        <v>26</v>
      </c>
      <c r="I78" s="2">
        <f>G78*H78/1000</f>
        <v/>
      </c>
      <c r="J78" t="n">
        <v>2.466</v>
      </c>
      <c r="K78" s="3">
        <f>I78*J78</f>
        <v/>
      </c>
      <c r="L78" t="inlineStr">
        <is>
          <t>26Φ20x940/20</t>
        </is>
      </c>
    </row>
    <row r="79">
      <c r="A79" t="inlineStr">
        <is>
          <t>N51</t>
        </is>
      </c>
      <c r="B79" t="inlineStr">
        <is>
          <t>Mesh</t>
        </is>
      </c>
      <c r="C79" t="inlineStr">
        <is>
          <t>Bottom</t>
        </is>
      </c>
      <c r="D79" t="inlineStr">
        <is>
          <t>X</t>
        </is>
      </c>
      <c r="E79" t="n">
        <v>20</v>
      </c>
      <c r="F79" t="inlineStr">
        <is>
          <t>straight</t>
        </is>
      </c>
      <c r="G79" t="n">
        <v>9700</v>
      </c>
      <c r="H79" t="n">
        <v>24</v>
      </c>
      <c r="I79" s="2">
        <f>G79*H79/1000</f>
        <v/>
      </c>
      <c r="J79" t="n">
        <v>2.466</v>
      </c>
      <c r="K79" s="3">
        <f>I79*J79</f>
        <v/>
      </c>
      <c r="L79" t="inlineStr">
        <is>
          <t>24Φ20x970/20</t>
        </is>
      </c>
    </row>
    <row r="80">
      <c r="A80" t="inlineStr">
        <is>
          <t>N51</t>
        </is>
      </c>
      <c r="B80" t="inlineStr">
        <is>
          <t>Mesh</t>
        </is>
      </c>
      <c r="C80" t="inlineStr">
        <is>
          <t>Bottom</t>
        </is>
      </c>
      <c r="D80" t="inlineStr">
        <is>
          <t>X</t>
        </is>
      </c>
      <c r="E80" t="n">
        <v>20</v>
      </c>
      <c r="F80" t="inlineStr">
        <is>
          <t>straight</t>
        </is>
      </c>
      <c r="G80" t="n">
        <v>9700</v>
      </c>
      <c r="H80" t="n">
        <v>1</v>
      </c>
      <c r="I80" s="2">
        <f>G80*H80/1000</f>
        <v/>
      </c>
      <c r="J80" t="n">
        <v>2.466</v>
      </c>
      <c r="K80" s="3">
        <f>I80*J80</f>
        <v/>
      </c>
      <c r="L80" t="inlineStr">
        <is>
          <t>1Φ20x970/20</t>
        </is>
      </c>
    </row>
    <row r="81">
      <c r="A81" t="inlineStr">
        <is>
          <t>N52</t>
        </is>
      </c>
      <c r="B81" t="inlineStr">
        <is>
          <t>Mesh</t>
        </is>
      </c>
      <c r="C81" t="inlineStr">
        <is>
          <t>Top</t>
        </is>
      </c>
      <c r="D81" t="inlineStr">
        <is>
          <t>Y</t>
        </is>
      </c>
      <c r="E81" t="n">
        <v>20</v>
      </c>
      <c r="F81" t="inlineStr">
        <is>
          <t>straight</t>
        </is>
      </c>
      <c r="G81" t="n">
        <v>9780</v>
      </c>
      <c r="H81" t="n">
        <v>22</v>
      </c>
      <c r="I81" s="2">
        <f>G81*H81/1000</f>
        <v/>
      </c>
      <c r="J81" t="n">
        <v>2.466</v>
      </c>
      <c r="K81" s="3">
        <f>I81*J81</f>
        <v/>
      </c>
      <c r="L81" t="inlineStr">
        <is>
          <t>22Φ20x978/20</t>
        </is>
      </c>
    </row>
    <row r="82">
      <c r="A82" t="inlineStr">
        <is>
          <t>N53</t>
        </is>
      </c>
      <c r="B82" t="inlineStr">
        <is>
          <t>Mesh</t>
        </is>
      </c>
      <c r="C82" t="inlineStr">
        <is>
          <t>Top</t>
        </is>
      </c>
      <c r="D82" t="inlineStr">
        <is>
          <t>Y</t>
        </is>
      </c>
      <c r="E82" t="n">
        <v>20</v>
      </c>
      <c r="F82" t="inlineStr">
        <is>
          <t>straight</t>
        </is>
      </c>
      <c r="G82" t="n">
        <v>9820</v>
      </c>
      <c r="H82" t="n">
        <v>34</v>
      </c>
      <c r="I82" s="2">
        <f>G82*H82/1000</f>
        <v/>
      </c>
      <c r="J82" t="n">
        <v>2.466</v>
      </c>
      <c r="K82" s="3">
        <f>I82*J82</f>
        <v/>
      </c>
      <c r="L82" t="inlineStr">
        <is>
          <t>34Φ20x982/20</t>
        </is>
      </c>
    </row>
    <row r="83">
      <c r="A83" t="inlineStr">
        <is>
          <t>N54</t>
        </is>
      </c>
      <c r="B83" t="inlineStr">
        <is>
          <t>Mesh</t>
        </is>
      </c>
      <c r="C83" t="inlineStr">
        <is>
          <t>Top</t>
        </is>
      </c>
      <c r="D83" t="inlineStr">
        <is>
          <t>X</t>
        </is>
      </c>
      <c r="E83" t="n">
        <v>20</v>
      </c>
      <c r="F83" t="inlineStr">
        <is>
          <t>straight</t>
        </is>
      </c>
      <c r="G83" t="n">
        <v>10220</v>
      </c>
      <c r="H83" t="n">
        <v>31</v>
      </c>
      <c r="I83" s="2">
        <f>G83*H83/1000</f>
        <v/>
      </c>
      <c r="J83" t="n">
        <v>2.466</v>
      </c>
      <c r="K83" s="3">
        <f>I83*J83</f>
        <v/>
      </c>
      <c r="L83" t="inlineStr">
        <is>
          <t>31Φ20x1022/20</t>
        </is>
      </c>
    </row>
    <row r="84">
      <c r="A84" t="inlineStr">
        <is>
          <t>N55</t>
        </is>
      </c>
      <c r="B84" t="inlineStr">
        <is>
          <t>Mesh</t>
        </is>
      </c>
      <c r="C84" t="inlineStr">
        <is>
          <t>Top</t>
        </is>
      </c>
      <c r="D84" t="inlineStr">
        <is>
          <t>Y</t>
        </is>
      </c>
      <c r="E84" t="n">
        <v>20</v>
      </c>
      <c r="F84" t="inlineStr">
        <is>
          <t>straight</t>
        </is>
      </c>
      <c r="G84" t="n">
        <v>10230</v>
      </c>
      <c r="H84" t="n">
        <v>3</v>
      </c>
      <c r="I84" s="2">
        <f>G84*H84/1000</f>
        <v/>
      </c>
      <c r="J84" t="n">
        <v>2.466</v>
      </c>
      <c r="K84" s="3">
        <f>I84*J84</f>
        <v/>
      </c>
      <c r="L84" t="inlineStr">
        <is>
          <t>3Φ20x1023/20</t>
        </is>
      </c>
    </row>
    <row r="85">
      <c r="A85" t="inlineStr">
        <is>
          <t>N56</t>
        </is>
      </c>
      <c r="B85" t="inlineStr">
        <is>
          <t>Mesh</t>
        </is>
      </c>
      <c r="C85" t="inlineStr">
        <is>
          <t>Bottom</t>
        </is>
      </c>
      <c r="D85" t="inlineStr">
        <is>
          <t>Y</t>
        </is>
      </c>
      <c r="E85" t="n">
        <v>20</v>
      </c>
      <c r="F85" t="inlineStr">
        <is>
          <t>straight</t>
        </is>
      </c>
      <c r="G85" t="n">
        <v>10240</v>
      </c>
      <c r="H85" t="n">
        <v>11</v>
      </c>
      <c r="I85" s="2">
        <f>G85*H85/1000</f>
        <v/>
      </c>
      <c r="J85" t="n">
        <v>2.466</v>
      </c>
      <c r="K85" s="3">
        <f>I85*J85</f>
        <v/>
      </c>
      <c r="L85" t="inlineStr">
        <is>
          <t>11Φ20x1024/20</t>
        </is>
      </c>
    </row>
    <row r="86">
      <c r="A86" t="inlineStr">
        <is>
          <t>N57</t>
        </is>
      </c>
      <c r="B86" t="inlineStr">
        <is>
          <t>Mesh</t>
        </is>
      </c>
      <c r="C86" t="inlineStr">
        <is>
          <t>Bottom</t>
        </is>
      </c>
      <c r="D86" t="inlineStr">
        <is>
          <t>X</t>
        </is>
      </c>
      <c r="E86" t="n">
        <v>20</v>
      </c>
      <c r="F86" t="inlineStr">
        <is>
          <t>straight</t>
        </is>
      </c>
      <c r="G86" t="n">
        <v>10320</v>
      </c>
      <c r="H86" t="n">
        <v>9</v>
      </c>
      <c r="I86" s="2">
        <f>G86*H86/1000</f>
        <v/>
      </c>
      <c r="J86" t="n">
        <v>2.466</v>
      </c>
      <c r="K86" s="3">
        <f>I86*J86</f>
        <v/>
      </c>
      <c r="L86" t="inlineStr">
        <is>
          <t>9Φ20x1032/20</t>
        </is>
      </c>
    </row>
    <row r="87">
      <c r="A87" t="inlineStr">
        <is>
          <t>N57</t>
        </is>
      </c>
      <c r="B87" t="inlineStr">
        <is>
          <t>Mesh</t>
        </is>
      </c>
      <c r="C87" t="inlineStr">
        <is>
          <t>Bottom</t>
        </is>
      </c>
      <c r="D87" t="inlineStr">
        <is>
          <t>X</t>
        </is>
      </c>
      <c r="E87" t="n">
        <v>20</v>
      </c>
      <c r="F87" t="inlineStr">
        <is>
          <t>straight</t>
        </is>
      </c>
      <c r="G87" t="n">
        <v>10320</v>
      </c>
      <c r="H87" t="n">
        <v>7</v>
      </c>
      <c r="I87" s="2">
        <f>G87*H87/1000</f>
        <v/>
      </c>
      <c r="J87" t="n">
        <v>2.466</v>
      </c>
      <c r="K87" s="3">
        <f>I87*J87</f>
        <v/>
      </c>
      <c r="L87" t="inlineStr">
        <is>
          <t>7Φ20x1032/20</t>
        </is>
      </c>
    </row>
    <row r="88">
      <c r="A88" t="inlineStr">
        <is>
          <t>N57</t>
        </is>
      </c>
      <c r="B88" t="inlineStr">
        <is>
          <t>Mesh</t>
        </is>
      </c>
      <c r="C88" t="inlineStr">
        <is>
          <t>Bottom</t>
        </is>
      </c>
      <c r="D88" t="inlineStr">
        <is>
          <t>X</t>
        </is>
      </c>
      <c r="E88" t="n">
        <v>20</v>
      </c>
      <c r="F88" t="inlineStr">
        <is>
          <t>straight</t>
        </is>
      </c>
      <c r="G88" t="n">
        <v>10320</v>
      </c>
      <c r="H88" t="n">
        <v>7</v>
      </c>
      <c r="I88" s="2">
        <f>G88*H88/1000</f>
        <v/>
      </c>
      <c r="J88" t="n">
        <v>2.466</v>
      </c>
      <c r="K88" s="3">
        <f>I88*J88</f>
        <v/>
      </c>
      <c r="L88" t="inlineStr">
        <is>
          <t>7Φ20x1032/20</t>
        </is>
      </c>
    </row>
    <row r="89">
      <c r="A89" t="inlineStr">
        <is>
          <t>N58</t>
        </is>
      </c>
      <c r="B89" t="inlineStr">
        <is>
          <t>Mesh</t>
        </is>
      </c>
      <c r="C89" t="inlineStr">
        <is>
          <t>Bottom</t>
        </is>
      </c>
      <c r="D89" t="inlineStr">
        <is>
          <t>Y</t>
        </is>
      </c>
      <c r="E89" t="n">
        <v>20</v>
      </c>
      <c r="F89" t="inlineStr">
        <is>
          <t>straight</t>
        </is>
      </c>
      <c r="G89" t="n">
        <v>10410</v>
      </c>
      <c r="H89" t="n">
        <v>34</v>
      </c>
      <c r="I89" s="2">
        <f>G89*H89/1000</f>
        <v/>
      </c>
      <c r="J89" t="n">
        <v>2.466</v>
      </c>
      <c r="K89" s="3">
        <f>I89*J89</f>
        <v/>
      </c>
      <c r="L89" t="inlineStr">
        <is>
          <t>34Φ20x1041/20</t>
        </is>
      </c>
    </row>
    <row r="90">
      <c r="A90" t="inlineStr">
        <is>
          <t>N59</t>
        </is>
      </c>
      <c r="B90" t="inlineStr">
        <is>
          <t>Mesh</t>
        </is>
      </c>
      <c r="C90" t="inlineStr">
        <is>
          <t>Bottom</t>
        </is>
      </c>
      <c r="D90" t="inlineStr">
        <is>
          <t>Y</t>
        </is>
      </c>
      <c r="E90" t="n">
        <v>20</v>
      </c>
      <c r="F90" t="inlineStr">
        <is>
          <t>straight</t>
        </is>
      </c>
      <c r="G90" t="n">
        <v>10800</v>
      </c>
      <c r="H90" t="n">
        <v>34</v>
      </c>
      <c r="I90" s="2">
        <f>G90*H90/1000</f>
        <v/>
      </c>
      <c r="J90" t="n">
        <v>2.466</v>
      </c>
      <c r="K90" s="3">
        <f>I90*J90</f>
        <v/>
      </c>
      <c r="L90" t="inlineStr">
        <is>
          <t>34Φ20x1080/20</t>
        </is>
      </c>
    </row>
    <row r="91">
      <c r="A91" t="inlineStr">
        <is>
          <t>N60</t>
        </is>
      </c>
      <c r="B91" t="inlineStr">
        <is>
          <t>Mesh</t>
        </is>
      </c>
      <c r="C91" t="inlineStr">
        <is>
          <t>Bottom</t>
        </is>
      </c>
      <c r="D91" t="inlineStr">
        <is>
          <t>Y</t>
        </is>
      </c>
      <c r="E91" t="n">
        <v>20</v>
      </c>
      <c r="F91" t="inlineStr">
        <is>
          <t>straight</t>
        </is>
      </c>
      <c r="G91" t="n">
        <v>10820</v>
      </c>
      <c r="H91" t="n">
        <v>35</v>
      </c>
      <c r="I91" s="2">
        <f>G91*H91/1000</f>
        <v/>
      </c>
      <c r="J91" t="n">
        <v>2.466</v>
      </c>
      <c r="K91" s="3">
        <f>I91*J91</f>
        <v/>
      </c>
      <c r="L91" t="inlineStr">
        <is>
          <t>35Φ20x1082/20</t>
        </is>
      </c>
    </row>
    <row r="92">
      <c r="A92" t="inlineStr">
        <is>
          <t>N60</t>
        </is>
      </c>
      <c r="B92" t="inlineStr">
        <is>
          <t>Mesh</t>
        </is>
      </c>
      <c r="C92" t="inlineStr">
        <is>
          <t>Top</t>
        </is>
      </c>
      <c r="D92" t="inlineStr">
        <is>
          <t>X</t>
        </is>
      </c>
      <c r="E92" t="n">
        <v>20</v>
      </c>
      <c r="F92" t="inlineStr">
        <is>
          <t>straight</t>
        </is>
      </c>
      <c r="G92" t="n">
        <v>10820</v>
      </c>
      <c r="H92" t="n">
        <v>24</v>
      </c>
      <c r="I92" s="2">
        <f>G92*H92/1000</f>
        <v/>
      </c>
      <c r="J92" t="n">
        <v>2.466</v>
      </c>
      <c r="K92" s="3">
        <f>I92*J92</f>
        <v/>
      </c>
      <c r="L92" t="inlineStr">
        <is>
          <t>24Φ20x1082/20</t>
        </is>
      </c>
    </row>
    <row r="93">
      <c r="A93" t="inlineStr">
        <is>
          <t>N60</t>
        </is>
      </c>
      <c r="B93" t="inlineStr">
        <is>
          <t>Mesh</t>
        </is>
      </c>
      <c r="C93" t="inlineStr">
        <is>
          <t>Top</t>
        </is>
      </c>
      <c r="D93" t="inlineStr">
        <is>
          <t>X</t>
        </is>
      </c>
      <c r="E93" t="n">
        <v>20</v>
      </c>
      <c r="F93" t="inlineStr">
        <is>
          <t>straight</t>
        </is>
      </c>
      <c r="G93" t="n">
        <v>10820</v>
      </c>
      <c r="H93" t="n">
        <v>1</v>
      </c>
      <c r="I93" s="2">
        <f>G93*H93/1000</f>
        <v/>
      </c>
      <c r="J93" t="n">
        <v>2.466</v>
      </c>
      <c r="K93" s="3">
        <f>I93*J93</f>
        <v/>
      </c>
      <c r="L93" t="inlineStr">
        <is>
          <t>1Φ20x1082/20</t>
        </is>
      </c>
    </row>
    <row r="94">
      <c r="A94" t="inlineStr">
        <is>
          <t>N61</t>
        </is>
      </c>
      <c r="B94" t="inlineStr">
        <is>
          <t>Mesh</t>
        </is>
      </c>
      <c r="C94" t="inlineStr">
        <is>
          <t>Bottom</t>
        </is>
      </c>
      <c r="D94" t="inlineStr">
        <is>
          <t>Y</t>
        </is>
      </c>
      <c r="E94" t="n">
        <v>20</v>
      </c>
      <c r="F94" t="inlineStr">
        <is>
          <t>straight</t>
        </is>
      </c>
      <c r="G94" t="n">
        <v>11040</v>
      </c>
      <c r="H94" t="n">
        <v>3</v>
      </c>
      <c r="I94" s="2">
        <f>G94*H94/1000</f>
        <v/>
      </c>
      <c r="J94" t="n">
        <v>2.466</v>
      </c>
      <c r="K94" s="3">
        <f>I94*J94</f>
        <v/>
      </c>
      <c r="L94" t="inlineStr">
        <is>
          <t>3Φ20x1104/20</t>
        </is>
      </c>
    </row>
    <row r="95">
      <c r="A95" t="inlineStr">
        <is>
          <t>N62</t>
        </is>
      </c>
      <c r="B95" t="inlineStr">
        <is>
          <t>Mesh</t>
        </is>
      </c>
      <c r="C95" t="inlineStr">
        <is>
          <t>Bottom</t>
        </is>
      </c>
      <c r="D95" t="inlineStr">
        <is>
          <t>Y</t>
        </is>
      </c>
      <c r="E95" t="n">
        <v>20</v>
      </c>
      <c r="F95" t="inlineStr">
        <is>
          <t>straight</t>
        </is>
      </c>
      <c r="G95" t="n">
        <v>11100</v>
      </c>
      <c r="H95" t="n">
        <v>5</v>
      </c>
      <c r="I95" s="2">
        <f>G95*H95/1000</f>
        <v/>
      </c>
      <c r="J95" t="n">
        <v>2.466</v>
      </c>
      <c r="K95" s="3">
        <f>I95*J95</f>
        <v/>
      </c>
      <c r="L95" t="inlineStr">
        <is>
          <t>5Φ20x1110/20</t>
        </is>
      </c>
    </row>
    <row r="96">
      <c r="A96" t="inlineStr">
        <is>
          <t>N62</t>
        </is>
      </c>
      <c r="B96" t="inlineStr">
        <is>
          <t>Mesh</t>
        </is>
      </c>
      <c r="C96" t="inlineStr">
        <is>
          <t>Top</t>
        </is>
      </c>
      <c r="D96" t="inlineStr">
        <is>
          <t>Y</t>
        </is>
      </c>
      <c r="E96" t="n">
        <v>20</v>
      </c>
      <c r="F96" t="inlineStr">
        <is>
          <t>straight</t>
        </is>
      </c>
      <c r="G96" t="n">
        <v>11100</v>
      </c>
      <c r="H96" t="n">
        <v>5</v>
      </c>
      <c r="I96" s="2">
        <f>G96*H96/1000</f>
        <v/>
      </c>
      <c r="J96" t="n">
        <v>2.466</v>
      </c>
      <c r="K96" s="3">
        <f>I96*J96</f>
        <v/>
      </c>
      <c r="L96" t="inlineStr">
        <is>
          <t>5Φ20x1110/20</t>
        </is>
      </c>
    </row>
    <row r="97">
      <c r="A97" t="inlineStr">
        <is>
          <t>N63</t>
        </is>
      </c>
      <c r="B97" t="inlineStr">
        <is>
          <t>Mesh</t>
        </is>
      </c>
      <c r="C97" t="inlineStr">
        <is>
          <t>Bottom</t>
        </is>
      </c>
      <c r="D97" t="inlineStr">
        <is>
          <t>X</t>
        </is>
      </c>
      <c r="E97" t="n">
        <v>20</v>
      </c>
      <c r="F97" t="inlineStr">
        <is>
          <t>straight</t>
        </is>
      </c>
      <c r="G97" t="n">
        <v>11120</v>
      </c>
      <c r="H97" t="n">
        <v>11</v>
      </c>
      <c r="I97" s="2">
        <f>G97*H97/1000</f>
        <v/>
      </c>
      <c r="J97" t="n">
        <v>2.466</v>
      </c>
      <c r="K97" s="3">
        <f>I97*J97</f>
        <v/>
      </c>
      <c r="L97" t="inlineStr">
        <is>
          <t>11Φ20x1112/20</t>
        </is>
      </c>
    </row>
    <row r="98">
      <c r="A98" t="inlineStr">
        <is>
          <t>N63</t>
        </is>
      </c>
      <c r="B98" t="inlineStr">
        <is>
          <t>Mesh</t>
        </is>
      </c>
      <c r="C98" t="inlineStr">
        <is>
          <t>Bottom</t>
        </is>
      </c>
      <c r="D98" t="inlineStr">
        <is>
          <t>X</t>
        </is>
      </c>
      <c r="E98" t="n">
        <v>20</v>
      </c>
      <c r="F98" t="inlineStr">
        <is>
          <t>straight</t>
        </is>
      </c>
      <c r="G98" t="n">
        <v>11120</v>
      </c>
      <c r="H98" t="n">
        <v>11</v>
      </c>
      <c r="I98" s="2">
        <f>G98*H98/1000</f>
        <v/>
      </c>
      <c r="J98" t="n">
        <v>2.466</v>
      </c>
      <c r="K98" s="3">
        <f>I98*J98</f>
        <v/>
      </c>
      <c r="L98" t="inlineStr">
        <is>
          <t>11Φ20x1112/20</t>
        </is>
      </c>
    </row>
    <row r="99">
      <c r="A99" t="inlineStr">
        <is>
          <t>N64</t>
        </is>
      </c>
      <c r="B99" t="inlineStr">
        <is>
          <t>Mesh</t>
        </is>
      </c>
      <c r="C99" t="inlineStr">
        <is>
          <t>Top</t>
        </is>
      </c>
      <c r="D99" t="inlineStr">
        <is>
          <t>Y</t>
        </is>
      </c>
      <c r="E99" t="n">
        <v>20</v>
      </c>
      <c r="F99" t="inlineStr">
        <is>
          <t>straight</t>
        </is>
      </c>
      <c r="G99" t="n">
        <v>11190</v>
      </c>
      <c r="H99" t="n">
        <v>34</v>
      </c>
      <c r="I99" s="2">
        <f>G99*H99/1000</f>
        <v/>
      </c>
      <c r="J99" t="n">
        <v>2.466</v>
      </c>
      <c r="K99" s="3">
        <f>I99*J99</f>
        <v/>
      </c>
      <c r="L99" t="inlineStr">
        <is>
          <t>34Φ20x1119/20</t>
        </is>
      </c>
    </row>
    <row r="100">
      <c r="A100" t="inlineStr">
        <is>
          <t>N65</t>
        </is>
      </c>
      <c r="B100" t="inlineStr">
        <is>
          <t>Mesh</t>
        </is>
      </c>
      <c r="C100" t="inlineStr">
        <is>
          <t>Bottom</t>
        </is>
      </c>
      <c r="D100" t="inlineStr">
        <is>
          <t>Y</t>
        </is>
      </c>
      <c r="E100" t="n">
        <v>20</v>
      </c>
      <c r="F100" t="inlineStr">
        <is>
          <t>straight</t>
        </is>
      </c>
      <c r="G100" t="n">
        <v>11780</v>
      </c>
      <c r="H100" t="n">
        <v>19</v>
      </c>
      <c r="I100" s="2">
        <f>G100*H100/1000</f>
        <v/>
      </c>
      <c r="J100" t="n">
        <v>2.466</v>
      </c>
      <c r="K100" s="3">
        <f>I100*J100</f>
        <v/>
      </c>
      <c r="L100" t="inlineStr">
        <is>
          <t>19Φ20x1178/20</t>
        </is>
      </c>
    </row>
    <row r="101">
      <c r="A101" t="inlineStr">
        <is>
          <t>N65</t>
        </is>
      </c>
      <c r="B101" t="inlineStr">
        <is>
          <t>Mesh</t>
        </is>
      </c>
      <c r="C101" t="inlineStr">
        <is>
          <t>Bottom</t>
        </is>
      </c>
      <c r="D101" t="inlineStr">
        <is>
          <t>Y</t>
        </is>
      </c>
      <c r="E101" t="n">
        <v>20</v>
      </c>
      <c r="F101" t="inlineStr">
        <is>
          <t>straight</t>
        </is>
      </c>
      <c r="G101" t="n">
        <v>11780</v>
      </c>
      <c r="H101" t="n">
        <v>7</v>
      </c>
      <c r="I101" s="2">
        <f>G101*H101/1000</f>
        <v/>
      </c>
      <c r="J101" t="n">
        <v>2.466</v>
      </c>
      <c r="K101" s="3">
        <f>I101*J101</f>
        <v/>
      </c>
      <c r="L101" t="inlineStr">
        <is>
          <t>7Φ20x1178/20</t>
        </is>
      </c>
    </row>
    <row r="102">
      <c r="A102" t="inlineStr">
        <is>
          <t>N66</t>
        </is>
      </c>
      <c r="B102" t="inlineStr">
        <is>
          <t>Mesh</t>
        </is>
      </c>
      <c r="C102" t="inlineStr">
        <is>
          <t>Top</t>
        </is>
      </c>
      <c r="D102" t="inlineStr">
        <is>
          <t>Y</t>
        </is>
      </c>
      <c r="E102" t="n">
        <v>20</v>
      </c>
      <c r="F102" t="inlineStr">
        <is>
          <t>straight</t>
        </is>
      </c>
      <c r="G102" t="n">
        <v>11900</v>
      </c>
      <c r="H102" t="n">
        <v>3</v>
      </c>
      <c r="I102" s="2">
        <f>G102*H102/1000</f>
        <v/>
      </c>
      <c r="J102" t="n">
        <v>2.466</v>
      </c>
      <c r="K102" s="3">
        <f>I102*J102</f>
        <v/>
      </c>
      <c r="L102" t="inlineStr">
        <is>
          <t>3Φ20x1190/20</t>
        </is>
      </c>
    </row>
    <row r="104">
      <c r="A104" s="4" t="inlineStr">
        <is>
          <t>TOTAL</t>
        </is>
      </c>
      <c r="B104" s="4" t="inlineStr"/>
      <c r="C104" s="4" t="inlineStr"/>
      <c r="D104" s="4" t="inlineStr"/>
      <c r="E104" s="4" t="inlineStr"/>
      <c r="F104" s="4" t="inlineStr"/>
      <c r="G104" s="4" t="inlineStr"/>
      <c r="H104" s="4">
        <f>SUM(H2:H102)</f>
        <v/>
      </c>
      <c r="I104" s="4">
        <f>SUM(I2:I102)</f>
        <v/>
      </c>
      <c r="J104" s="4" t="inlineStr"/>
      <c r="K104" s="4">
        <f>SUM(K2:K102)</f>
        <v/>
      </c>
      <c r="L104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8" customWidth="1" min="3" max="3"/>
    <col width="14" customWidth="1" min="4" max="4"/>
  </cols>
  <sheetData>
    <row r="1">
      <c r="A1" s="5" t="inlineStr">
        <is>
          <t>Ø (mm)</t>
        </is>
      </c>
      <c r="B1" s="5" t="inlineStr">
        <is>
          <t>Total length (m)</t>
        </is>
      </c>
      <c r="C1" s="5" t="inlineStr">
        <is>
          <t>kg/m</t>
        </is>
      </c>
      <c r="D1" s="5" t="inlineStr">
        <is>
          <t>Weight (kg)</t>
        </is>
      </c>
    </row>
    <row r="2">
      <c r="A2" t="n">
        <v>20</v>
      </c>
      <c r="B2" s="3">
        <f>SUMIF('Bar schedule'!E2:E102,A2,'Bar schedule'!I2:I102)</f>
        <v/>
      </c>
      <c r="C2" t="n">
        <v>2.466</v>
      </c>
      <c r="D2" s="3">
        <f>B2*C2</f>
        <v/>
      </c>
    </row>
    <row r="3">
      <c r="A3" s="4" t="inlineStr">
        <is>
          <t>TOTAL</t>
        </is>
      </c>
      <c r="B3" s="6">
        <f>SUM(B2:B2)</f>
        <v/>
      </c>
      <c r="C3" s="4" t="inlineStr"/>
      <c r="D3" s="6">
        <f>SUM(D2:D2)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2026-10-07T08:55:17Z</dcterms:created>
  <dcterms:modified xmlns:dcterms="http://purl.org/dc/terms/" xmlns:xsi="http://www.w3.org/2001/XMLSchema-instance" xsi:type="dcterms:W3CDTF">2026-10-07T08:55:17Z</dcterms:modified>
</cp:coreProperties>
</file>